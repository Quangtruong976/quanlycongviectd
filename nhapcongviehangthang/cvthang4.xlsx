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THEO DÕI CV TINH ĐOÀN\"/>
    </mc:Choice>
  </mc:AlternateContent>
  <bookViews>
    <workbookView xWindow="0" yWindow="0" windowWidth="20400" windowHeight="8925"/>
  </bookViews>
  <sheets>
    <sheet name="NhapLieu" sheetId="1" r:id="rId1"/>
    <sheet name="Sheet1" sheetId="3" state="hidden" r:id="rId2"/>
    <sheet name="DanhMuc" sheetId="2" state="hidden" r:id="rId3"/>
  </sheets>
  <calcPr calcId="162913"/>
</workbook>
</file>

<file path=xl/calcChain.xml><?xml version="1.0" encoding="utf-8"?>
<calcChain xmlns="http://schemas.openxmlformats.org/spreadsheetml/2006/main">
  <c r="F23" i="1" l="1"/>
  <c r="F24" i="1"/>
  <c r="F30" i="1"/>
  <c r="F18" i="1"/>
  <c r="F3" i="1"/>
  <c r="F4" i="1"/>
  <c r="F5" i="1"/>
  <c r="F8" i="1"/>
  <c r="F10" i="1"/>
  <c r="F11" i="1"/>
  <c r="F12" i="1"/>
  <c r="C22" i="1"/>
  <c r="C14" i="1"/>
  <c r="C5" i="1"/>
  <c r="C3" i="1"/>
  <c r="C4" i="1"/>
  <c r="C6" i="1"/>
  <c r="C7" i="1"/>
  <c r="C8" i="1"/>
  <c r="C9" i="1"/>
  <c r="C10" i="1"/>
  <c r="C11" i="1"/>
  <c r="C12" i="1"/>
  <c r="C13" i="1"/>
  <c r="C15" i="1"/>
  <c r="C16" i="1"/>
  <c r="C17" i="1"/>
  <c r="C18" i="1"/>
  <c r="C19" i="1"/>
  <c r="C20" i="1"/>
  <c r="C21" i="1"/>
  <c r="C23" i="1"/>
  <c r="C24" i="1"/>
  <c r="C25" i="1"/>
  <c r="C26" i="1"/>
  <c r="C27" i="1"/>
  <c r="C28" i="1"/>
  <c r="C29" i="1"/>
  <c r="C30" i="1"/>
  <c r="C31" i="1"/>
  <c r="C32" i="1"/>
  <c r="C33" i="1"/>
  <c r="C34" i="1"/>
  <c r="C35" i="1"/>
  <c r="C36" i="1"/>
  <c r="C37" i="1"/>
  <c r="C38" i="1"/>
  <c r="C39" i="1"/>
  <c r="C40" i="1"/>
  <c r="C41" i="1"/>
  <c r="C42" i="1"/>
  <c r="C43" i="1"/>
  <c r="C44" i="1"/>
  <c r="C45" i="1"/>
  <c r="C46"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2" i="1"/>
</calcChain>
</file>

<file path=xl/sharedStrings.xml><?xml version="1.0" encoding="utf-8"?>
<sst xmlns="http://schemas.openxmlformats.org/spreadsheetml/2006/main" count="733" uniqueCount="184">
  <si>
    <t>Lĩnh vực lớn</t>
  </si>
  <si>
    <t>Lĩnh vực con</t>
  </si>
  <si>
    <t>Công việc</t>
  </si>
  <si>
    <t>Sản phẩm</t>
  </si>
  <si>
    <t>Ngày giao</t>
  </si>
  <si>
    <t>I. Văn phòng - Tuyên giáo - Xây dựng Đoàn</t>
  </si>
  <si>
    <t>Văn phòng</t>
  </si>
  <si>
    <t>II. Phong trào - Hội LHTN</t>
  </si>
  <si>
    <t>Tuyên giáo</t>
  </si>
  <si>
    <t>III. Trường học - Hội Sinh viên</t>
  </si>
  <si>
    <t>Xây dựng Đoàn</t>
  </si>
  <si>
    <t>Phong trào</t>
  </si>
  <si>
    <t>Hội LHTN</t>
  </si>
  <si>
    <t>Trường học</t>
  </si>
  <si>
    <t>Hội Sinh viên</t>
  </si>
  <si>
    <t>Trương Minh Quang</t>
  </si>
  <si>
    <t>Trần Diệp Mỹ Dung</t>
  </si>
  <si>
    <t>Đoàn Minh Tâm</t>
  </si>
  <si>
    <t>Trần Việt Anh</t>
  </si>
  <si>
    <t>Nguyễn Hồ Xuân Quang</t>
  </si>
  <si>
    <t>Nguyễn Trọng Tùng</t>
  </si>
  <si>
    <t>Đào Hùng</t>
  </si>
  <si>
    <t>Châu Yến Phi</t>
  </si>
  <si>
    <t>Hạn hoàn thành</t>
  </si>
  <si>
    <t>Ngày hoàn thành</t>
  </si>
  <si>
    <t>Cán bộ tham mưu</t>
  </si>
  <si>
    <t>Cán bộ phụ trách</t>
  </si>
  <si>
    <t>H' Hồng</t>
  </si>
  <si>
    <t>Phan Xuân Tấn</t>
  </si>
  <si>
    <t>TT</t>
  </si>
  <si>
    <t>SL CÔNG VIỆC</t>
  </si>
  <si>
    <t>NỘI DUNG CÔNG VIỆC</t>
  </si>
  <si>
    <t>TT PHỤ TRÁCH</t>
  </si>
  <si>
    <t>CB THAM MƯU</t>
  </si>
  <si>
    <t>THỜI GIAN HOÀN THÀNH</t>
  </si>
  <si>
    <t>Văn bản</t>
  </si>
  <si>
    <t>Đ/c Dung</t>
  </si>
  <si>
    <t>Đ/c Tấn</t>
  </si>
  <si>
    <t>Báo cáo công tác Đoàn tháng 4</t>
  </si>
  <si>
    <t>Đ/c Phượng</t>
  </si>
  <si>
    <t>Hướng dẫn xử lý văn bản bí mật nhà nước</t>
  </si>
  <si>
    <t>Báo cáo điều tra cơ sở hành chính sự nghiệp năm 2026</t>
  </si>
  <si>
    <t>Đ/c Hòa</t>
  </si>
  <si>
    <t>Tham mưu lịch công tác Tháng và Tuần của Thường trực</t>
  </si>
  <si>
    <t>Đ/c Cầm, Phượng</t>
  </si>
  <si>
    <t>hàng tuần</t>
  </si>
  <si>
    <t>Thông báo kết quả giao ban tháng 4</t>
  </si>
  <si>
    <t>Đ/c Quang</t>
  </si>
  <si>
    <t xml:space="preserve"> 10/4/2026</t>
  </si>
  <si>
    <t>Tham mưu tài liệu họp Ban Thường vụ Tỉnh đoàn tháng 4</t>
  </si>
  <si>
    <t>Rà soát điều chỉnh Quy chế thi chi tiêu nội bộ tại Ban Công tác Đoàn và TTN</t>
  </si>
  <si>
    <t>trước 15/4/2026</t>
  </si>
  <si>
    <t>Báo cáo các nội dung liên quan phục vụ làm việc với Đoàn kiểm tra của Bộ Chính trị, Ban Bí thư</t>
  </si>
  <si>
    <t>Đ/c Xuân Quang</t>
  </si>
  <si>
    <t>Quyết toán kinh phí hoạt động đã tổ chức</t>
  </si>
  <si>
    <t>Phối hợp với văn phòng MTTQ bàn giao tài sản, nhà đất</t>
  </si>
  <si>
    <t>Kê khai thông tin trên hệ thống Điều tra cơ sở hành chính, sự nghiệp của Bộ Nội vụ</t>
  </si>
  <si>
    <t>Tham mưu các nội dung bàn giao tài sản và trụ sở cơ quan cũ cho cấp có thẩm quyền</t>
  </si>
  <si>
    <t>Tiếp tục tham mưu giải quyết tồn động của các Tỉnh đoàn cũ (Dự án công viên Hoa Thanh niên; Sân bóng; Trung tâm SHDNTTN Bình Thuận</t>
  </si>
  <si>
    <t>31/4/2026</t>
  </si>
  <si>
    <t>Rà soát kết quả thực hiện BTC quý 1 triển khai nhiệm vụ quý 2</t>
  </si>
  <si>
    <t>Lịch trực Ban nghĩ lễ Giỗ tổ Hùng Vương và 30/4</t>
  </si>
  <si>
    <t>Đ/c Hà</t>
  </si>
  <si>
    <t>CV giới thiệu nhân sự CTV Phòng chống tác hại của thuốc lá</t>
  </si>
  <si>
    <t>Đ/c Toán</t>
  </si>
  <si>
    <t>Báo cáo dư luận hàng tuần, tháng</t>
  </si>
  <si>
    <t>Trong tháng 4</t>
  </si>
  <si>
    <t>KH, Thể lệ Cuộc thi trực tuyến tìm hiểu Nghị quyết Đại hội</t>
  </si>
  <si>
    <t>Đ/c Việt Anh</t>
  </si>
  <si>
    <t>QĐ trao giải Minigame tìm hiểu pháp luật về bầu cử</t>
  </si>
  <si>
    <t>Các văn bản triển khai công tác 35 Tỉnh đoàn (văn bản mật, báo cáo định kỳ)</t>
  </si>
  <si>
    <t>Trong tháng</t>
  </si>
  <si>
    <t>KH tổ chức Hành trình "Tuổi trẻ Lâm Đồng với biển đảo quê hương" năm 2026</t>
  </si>
  <si>
    <t>Đ/c  Toán</t>
  </si>
  <si>
    <t xml:space="preserve"> KH tổ chức Liên hoan tuyên truyền ca khúc cách mạng tỉnh Lâm Đồng năm 2026</t>
  </si>
  <si>
    <t>Báo cáo dư luận tháng 5</t>
  </si>
  <si>
    <t>trước 25/4</t>
  </si>
  <si>
    <t>Hướng dẫn tuyên truyền tháng 5</t>
  </si>
  <si>
    <t>Hướng dẫn tuyên truyền kỷ niệm 136 năm Ngày sinh Chỉ tịch Hồ Chí Minh</t>
  </si>
  <si>
    <t xml:space="preserve"> KH tổ chức tuyên dương “Thanh niên tiên tiến làm theo lời Bác” nhân kỷ niệm 136 năm Ngày sinh Chủ tịch Hồ Chí Minh (19/5/1890 - 19/5/2026)</t>
  </si>
  <si>
    <t>Kế hoạch tuyên truyền, vận động đoàn viên thanh niên và nhân dân tham gia bảo hiểm y tế toàn dân năm 2026</t>
  </si>
  <si>
    <t>Kế hoạch tuyên truyền phòng chống tác hại thuốc lá trong đoàn viên thanh niên năm 2026</t>
  </si>
  <si>
    <t>Lễ Phát động Cuộc thi trực tuyến tìm hiểu Nghị quyết Đại hội</t>
  </si>
  <si>
    <t>Trao giải Minigame tìm hiểu pháp luật về bầu cử</t>
  </si>
  <si>
    <t>Tiếp tục ôn đốc đăng tải triển khai Đề án Những câu chuyện thời hoa lửa</t>
  </si>
  <si>
    <t>Tham mưu các nội dung liên quan đến Lễ hội Giỗ tổ Hùng Vương</t>
  </si>
  <si>
    <t>Tổ chức Chương trình sinh hoạt chính trị  nhân kỷ niệm 51 năm Giải phóng miền Nam, thống nhất đất nước ngày (30/4/1975 - 30/4/2026)</t>
  </si>
  <si>
    <t>Tham mưu gửi ấn phẩm phục vụ biên soạn các ấn phẩm chào mừng Đại hội Đoàn toàn quốc lần thứ XII</t>
  </si>
  <si>
    <t>Trước 17/4/2026</t>
  </si>
  <si>
    <t>Tuyên truyền kịp thời các hoạt động tập trung cấp tỉnh trong tháng</t>
  </si>
  <si>
    <t>Đ/c Hà,Toán</t>
  </si>
  <si>
    <t>Kế hoạch rà soát quy hoạch các chức danh chủ chốt của Đoàn năm 2026</t>
  </si>
  <si>
    <t xml:space="preserve">Đ/c Xuân Quang </t>
  </si>
  <si>
    <t>CV góp ý dự thảo hướng dẫn quy trình thủ tục kiện toàn bổ sung nhân sự cấp tỉnh</t>
  </si>
  <si>
    <t>Đ/c  Đồng</t>
  </si>
  <si>
    <t>CV góp ý dự thảo Hướng dẫn một số vấn đề cụ thể thi hành Điều lệ Đảng</t>
  </si>
  <si>
    <t>Thông báo thôi trả lương và các khoản phụ cấp đối với các đồng chí chuyển công tác</t>
  </si>
  <si>
    <t>Thường xuyên</t>
  </si>
  <si>
    <t>Văn bản triển khai thực hiện các nội dung liên quan phần mềm Quản lý đoàn viên</t>
  </si>
  <si>
    <t>Văn bản triển khai thực hiện kiểm tra, giám sát</t>
  </si>
  <si>
    <t>Kế hoạch giao chỉ tiêu phát triển đoàn viên; giới thiệu đoàn viên ưu tú cho Đảng và phát triển đảng viên trong ĐVTN năm 2026</t>
  </si>
  <si>
    <t>Đ/c Đồng</t>
  </si>
  <si>
    <t>Báo cáo công tác phòng, chống tham nhũng, lãng phí tiêu cực tháng 4/2026</t>
  </si>
  <si>
    <t>Đôn đốc triển khai thực hiện các nội dung liên quan phần mềm Quản lý đoàn viên</t>
  </si>
  <si>
    <t>Triển khai các nội dung liên quan đến việc thành lập tổ chức Đoàn trong doanh nghiệp ngoài Nhà nước</t>
  </si>
  <si>
    <t>Tham mưu công tác nhân sự cơ sở</t>
  </si>
  <si>
    <t>Tham mưu quy trình công chức Ban chuyển công tác</t>
  </si>
  <si>
    <t>Tham mưu các nội dung liên quan đến các hợp đồng lao động ngoài biên chế</t>
  </si>
  <si>
    <t>Kiểm tra, giám sát cơ sở</t>
  </si>
  <si>
    <t>Theo thời gian của Ủy ban Kiểm tra Tỉnh đoàn</t>
  </si>
  <si>
    <t>Thu Đoàn phí cơ sở</t>
  </si>
  <si>
    <t>Triển khai đăng tải tài liệu sinh hoạt chi đoàn tháng 4/2026</t>
  </si>
  <si>
    <t>trước 09/4/2026</t>
  </si>
  <si>
    <t>Phối hợp tham mưu công tác nhân sự của Hội LHTN Việt Nam tỉnh</t>
  </si>
  <si>
    <t>Phối hợp tổ chức các hoạt động tập trung cấp tỉnh</t>
  </si>
  <si>
    <t>cả lĩnh vực</t>
  </si>
  <si>
    <t>KH triển khai Đề án "Thanh niên tham gia bảo tồn, phát huy bản sắc văn hóa dân tộc Việt Nam"</t>
  </si>
  <si>
    <t>Đ/c Hồng</t>
  </si>
  <si>
    <t>Đ/c Văn</t>
  </si>
  <si>
    <t>KH Thắp sáng ước mơ hoàn lương</t>
  </si>
  <si>
    <t>Báo cáo tổng kết Tháng Thanh niên năm 2026</t>
  </si>
  <si>
    <t>Đ/c Thịnh</t>
  </si>
  <si>
    <t>Dự thảo Đề án hỗ trợ thanh niên khởi nghiệp</t>
  </si>
  <si>
    <t>Kế hoạch hỗ trợ thanh niên khởi nghiệp tỉnh Lâm Đồng năm 2026</t>
  </si>
  <si>
    <t>Dự thảo Kế hoạch tổ chức Hội trại tập huấn kỹ năng cán bộ Đoàn - Hội</t>
  </si>
  <si>
    <t>Hướng dẫn triển khai một số nội dung trọng tâm phong trào "Tuổi trẻ chung tay xây dựng nông thôn mới và chương trình bảo vệ môi trường ứng phó với biến đổi khi hậu</t>
  </si>
  <si>
    <t>Kế hoạch tổ chức ngày hội Thanh niên công nhân và tuyên dương Thanh niên công nhân tiêu biểu năm 2026</t>
  </si>
  <si>
    <t>Kế hoạch tổ chức ngày Thầy thuốc trẻ làm theo lời Bác</t>
  </si>
  <si>
    <t>Công văn chủ động, đẩy mạnh triển khai phong trào thi đua Bình dân học vụ số trong đoàn viên thanh niên năm 2026</t>
  </si>
  <si>
    <t>Công văn triển khai cuộc thi khởi nghiệp thanh niên nông thôn của TWĐ</t>
  </si>
  <si>
    <t>KH Tham mưu xóa 01 điểm đen ô nhiễm</t>
  </si>
  <si>
    <t>Tham gia thực hiện các hoạt động tập trung của cơ quan</t>
  </si>
  <si>
    <t>Kiện toàn các nguồn quỹ của Đoàn</t>
  </si>
  <si>
    <t>Hồ sơ khen thưởng Tháng thanh niên</t>
  </si>
  <si>
    <t>Phối hợp tổ chức chương trình “Gửi tiết kiệm chung tay vì người nghèo” năm 2026</t>
  </si>
  <si>
    <t>Tổ chức tổng kết tháng thanh niên 2026</t>
  </si>
  <si>
    <t>Tham mưu các điều kiện hưởng phát động“Tết trồng cây đời đời nhớ ơn Bác Hồ” và trồng rừng tập trung, trồng cây phân tán năm 2026 do UBND tỉnh tổ chức</t>
  </si>
  <si>
    <t>Hội LHTN VN tỉnh</t>
  </si>
  <si>
    <t>Văn bản phối hợp với Hội Doanh nhân trẻ tỉnh về việc phối hợp hỗ trợ tổ chức Diễn đàn Kinh tế tư nhân Việt Nam (VPSF) 2026</t>
  </si>
  <si>
    <t>Các văn bản chuẩn bị Đại hội Hội LHTN VN tỉnh: Quyết định thành lập các tiểu Ban phục vụ Đại hội; các Đề án Đại hội; Chương trình, Kịch bản ĐH; Báo cáo chính trị Đại hội; Nghị quyết ĐH,...</t>
  </si>
  <si>
    <t>Rà soát đôn đốc hoàn thành việc thành lập Hội LHTN Việt Nam các xã phường đặc khu</t>
  </si>
  <si>
    <t>Tham mưu các điều kiện chuẩn bị tổ chức ĐH Hội lần I</t>
  </si>
  <si>
    <t>Tham mưu phân công dự chỉ đạo Đại hội Hội LHTN Việt Nam cơ sở</t>
  </si>
  <si>
    <t>Phối hợp rà soát thành lập Hội doanh nhân trẻ tỉnh Lâm Đồng</t>
  </si>
  <si>
    <t>trong tháng</t>
  </si>
  <si>
    <t>Đề cương tuyên truyền 85 năm thành lập Đội</t>
  </si>
  <si>
    <t>Đ/c Tâm</t>
  </si>
  <si>
    <t>Đ/c Uyên</t>
  </si>
  <si>
    <t>Tờ tình TW về đề xuất xét trao tặng Cánh én hồng</t>
  </si>
  <si>
    <t>Ban hành KH tổ chức tập huấn cho cán bộ Hội đồng Đội về công tác bảo vệ, chăm sóc, giá dục thiếu niên nhi đồng sau khi thực hiện chính quyền địa phương 2 cấp</t>
  </si>
  <si>
    <t>Tham mưu các vb triển khai đăng cai  Festival Thiếu nhi toàn quốc lần thứ nhất - năm 2026</t>
  </si>
  <si>
    <t>Tham mưu các vb triển khai đăng cai Hội Thi Tin học trẻ toàn quốc</t>
  </si>
  <si>
    <t>Đ/c Sơn</t>
  </si>
  <si>
    <t>Văn bản triển khai tuyên truyền tăng cường phòng chống, ngăn chặn bạo lực học đường</t>
  </si>
  <si>
    <t>Triển khai chương trình Hoa cúc trắng tháng 4</t>
  </si>
  <si>
    <t>Đ/c Phương</t>
  </si>
  <si>
    <t>Triển khai hướng nghiệp cho đội viên lớn</t>
  </si>
  <si>
    <t>Triển khai hội thi olympic tiếng anh trong cán bộ Đoàn, đoàn viên thanh niên</t>
  </si>
  <si>
    <t>Kế hoạch triển khai các hoạt động phong trào Xây dựng tình bạn đẹp nói không với bạo lực học đường</t>
  </si>
  <si>
    <t>Tham mưu các điều kiện chuẩn bị tổ chức Hội thi Tin học trẻ tỉnh Lâm Đồng năm 2026</t>
  </si>
  <si>
    <t xml:space="preserve">Triển khai cuộc thi Robotic cấp tỉnh </t>
  </si>
  <si>
    <t>Hội Sinh viên VN tỉnh</t>
  </si>
  <si>
    <t>Tham mưu các nội dung quy trình thành lập Hội Sinh viên Việt Nam tỉnh</t>
  </si>
  <si>
    <t>Đề án tổ chức Đại hội Hội</t>
  </si>
  <si>
    <t>20/4/2026</t>
  </si>
  <si>
    <t>15/4/2026</t>
  </si>
  <si>
    <t>10/4/2026</t>
  </si>
  <si>
    <t>02/4/2026</t>
  </si>
  <si>
    <t>04/4/2026</t>
  </si>
  <si>
    <t>30/4/2026</t>
  </si>
  <si>
    <t>Bùi Thị Phượng</t>
  </si>
  <si>
    <t>Hồ Như Toán</t>
  </si>
  <si>
    <t>Trịnh Thị Vỹ Cầm</t>
  </si>
  <si>
    <t>Nguyễn Linh Phương</t>
  </si>
  <si>
    <t>Võ Văn Đồng</t>
  </si>
  <si>
    <t>Nguyễn Nam Sơn</t>
  </si>
  <si>
    <t>Nguyễn Thị Thanh Hòa</t>
  </si>
  <si>
    <t>Nguyễn Đình Hưng Thịnh</t>
  </si>
  <si>
    <t>Đỗ Ngọc Hà</t>
  </si>
  <si>
    <t>Nguyễn Lý Xuân Uyên</t>
  </si>
  <si>
    <t>Nguyễn Trọng Văn</t>
  </si>
  <si>
    <t>Kế hoạch thực hiện Nghị Quyết 59 của Bộ Chính trị</t>
  </si>
  <si>
    <t>Đc Toán</t>
  </si>
  <si>
    <t>Tham mưu công tác quy hoạch các chức danh chủ chốt của đoàn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</si>
</sst>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d\-mm\-yyyy"/>
  </numFmts>
  <fonts count="11" x14ac:knownFonts="1">
    <font>
      <sz val="11"/>
      <color theme="1"/>
      <name val="Calibri"/>
      <family val="2"/>
      <scheme val="minor"/>
    </font>
    <font>
      <sz val="14"/>
      <color theme="1"/>
      <name val="Times New Roman"/>
      <family val="1"/>
    </font>
    <font>
      <b/>
      <sz val="12"/>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12"/>
      <name val="Times New Roman"/>
      <family val="1"/>
    </font>
    <font>
      <sz val="12"/>
      <color rgb="FFFF0000"/>
      <name val="Times New Roman"/>
      <family val="1"/>
    </font>
    <font>
      <b/>
      <sz val="10"/>
      <name val="Times New Roman"/>
      <family val="1"/>
    </font>
    <font>
      <sz val="10"/>
      <color theme="1"/>
      <name val="Times New Roman"/>
      <family val="1"/>
    </font>
  </fonts>
  <fills count="14">
    <fill>
      <patternFill patternType="none"/>
    </fill>
    <fill>
      <patternFill patternType="gray125"/>
    </fill>
    <fill>
      <patternFill patternType="solid">
        <fgColor rgb="FFFFC000"/>
        <bgColor indexed="64"/>
      </patternFill>
    </fill>
    <fill>
      <patternFill patternType="solid">
        <fgColor rgb="FFFFFFFF"/>
        <bgColor rgb="FFFFFFFF"/>
      </patternFill>
    </fill>
    <fill>
      <patternFill patternType="solid">
        <fgColor theme="0" tint="-0.14999847407452621"/>
        <bgColor indexed="64"/>
      </patternFill>
    </fill>
    <fill>
      <patternFill patternType="solid">
        <fgColor theme="0"/>
        <bgColor rgb="FFFF9900"/>
      </patternFill>
    </fill>
    <fill>
      <patternFill patternType="solid">
        <fgColor theme="0" tint="-0.14999847407452621"/>
        <bgColor rgb="FFA6E3B7"/>
      </patternFill>
    </fill>
    <fill>
      <patternFill patternType="solid">
        <fgColor theme="0" tint="-0.14999847407452621"/>
        <bgColor rgb="FFB5E3E8"/>
      </patternFill>
    </fill>
    <fill>
      <patternFill patternType="solid">
        <fgColor rgb="FFFFFF0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8"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rgb="FF000000"/>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s>
  <cellStyleXfs count="1">
    <xf numFmtId="0" fontId="0" fillId="0" borderId="0"/>
  </cellStyleXfs>
  <cellXfs count="132">
    <xf numFmtId="0" fontId="0" fillId="0" borderId="0" xfId="0"/>
    <xf numFmtId="0" fontId="1" fillId="0" borderId="0" xfId="0" applyFont="1"/>
    <xf numFmtId="0" fontId="3"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4" borderId="4" xfId="0" applyFont="1" applyFill="1" applyBorder="1" applyAlignment="1">
      <alignment horizontal="left" vertical="center"/>
    </xf>
    <xf numFmtId="0" fontId="4" fillId="4" borderId="0" xfId="0" applyFont="1" applyFill="1" applyAlignment="1">
      <alignment horizontal="left" vertical="center"/>
    </xf>
    <xf numFmtId="0" fontId="4" fillId="4" borderId="5"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left"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left" vertical="center" wrapText="1"/>
    </xf>
    <xf numFmtId="0" fontId="6" fillId="0" borderId="8"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wrapText="1"/>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 xfId="0" applyFont="1" applyBorder="1" applyAlignment="1">
      <alignment horizont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6" fillId="3" borderId="3" xfId="0" applyFont="1" applyFill="1" applyBorder="1" applyAlignment="1">
      <alignment horizont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wrapText="1"/>
    </xf>
    <xf numFmtId="0" fontId="6" fillId="3" borderId="1" xfId="0" applyFont="1" applyFill="1" applyBorder="1" applyAlignment="1">
      <alignment horizontal="center" vertical="center" wrapText="1"/>
    </xf>
    <xf numFmtId="0" fontId="3" fillId="0" borderId="11" xfId="0" applyFont="1" applyBorder="1" applyAlignment="1">
      <alignment horizontal="center" vertical="center" wrapText="1"/>
    </xf>
    <xf numFmtId="0" fontId="6" fillId="3" borderId="7" xfId="0" applyFont="1" applyFill="1" applyBorder="1" applyAlignment="1">
      <alignment horizontal="center" wrapText="1"/>
    </xf>
    <xf numFmtId="0" fontId="6" fillId="3" borderId="7" xfId="0" applyFont="1" applyFill="1" applyBorder="1" applyAlignment="1">
      <alignment horizontal="center" vertical="center" wrapText="1"/>
    </xf>
    <xf numFmtId="0" fontId="6" fillId="3" borderId="13" xfId="0" applyFont="1" applyFill="1" applyBorder="1" applyAlignment="1">
      <alignment horizontal="center" wrapText="1"/>
    </xf>
    <xf numFmtId="0" fontId="6" fillId="3" borderId="13"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3" fillId="0" borderId="12" xfId="0" applyFont="1" applyBorder="1" applyAlignment="1">
      <alignment horizontal="center" vertical="center" wrapText="1"/>
    </xf>
    <xf numFmtId="0" fontId="6" fillId="0" borderId="1" xfId="0" applyFont="1" applyBorder="1" applyAlignment="1">
      <alignment horizontal="left" wrapText="1"/>
    </xf>
    <xf numFmtId="0" fontId="8" fillId="0" borderId="1" xfId="0" applyFont="1" applyBorder="1" applyAlignment="1">
      <alignment horizontal="left" wrapText="1"/>
    </xf>
    <xf numFmtId="0" fontId="4" fillId="0" borderId="12" xfId="0" applyFont="1" applyBorder="1" applyAlignment="1">
      <alignment horizontal="center" vertical="center" wrapText="1"/>
    </xf>
    <xf numFmtId="0" fontId="5"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4" xfId="0" applyFont="1" applyFill="1" applyBorder="1" applyAlignment="1">
      <alignment horizontal="lef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 xfId="0" applyFont="1" applyFill="1" applyBorder="1" applyAlignment="1">
      <alignment horizontal="left" wrapText="1"/>
    </xf>
    <xf numFmtId="0" fontId="6" fillId="3" borderId="16" xfId="0" applyFont="1" applyFill="1" applyBorder="1" applyAlignment="1">
      <alignment horizontal="center" vertical="center" wrapText="1"/>
    </xf>
    <xf numFmtId="0" fontId="8" fillId="3" borderId="1" xfId="0" applyFont="1" applyFill="1" applyBorder="1" applyAlignment="1">
      <alignment horizontal="left" wrapText="1"/>
    </xf>
    <xf numFmtId="0" fontId="6" fillId="5" borderId="1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horizontal="left" vertical="top" wrapText="1"/>
    </xf>
    <xf numFmtId="0" fontId="6" fillId="3" borderId="7" xfId="0" applyFont="1" applyFill="1" applyBorder="1" applyAlignment="1">
      <alignment horizontal="left" vertical="center" wrapText="1"/>
    </xf>
    <xf numFmtId="0" fontId="6" fillId="5" borderId="12" xfId="0" applyFont="1" applyFill="1" applyBorder="1" applyAlignment="1">
      <alignment horizontal="left" vertical="center" wrapText="1"/>
    </xf>
    <xf numFmtId="0" fontId="5" fillId="5" borderId="12" xfId="0" applyFont="1" applyFill="1" applyBorder="1" applyAlignment="1">
      <alignment horizontal="center" vertical="center" wrapText="1"/>
    </xf>
    <xf numFmtId="0" fontId="5" fillId="6" borderId="0" xfId="0" applyFont="1" applyFill="1" applyAlignment="1">
      <alignment horizontal="left" vertical="center" wrapText="1"/>
    </xf>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0" fontId="6" fillId="3" borderId="17" xfId="0" applyFont="1" applyFill="1" applyBorder="1" applyAlignment="1">
      <alignment horizontal="center" wrapText="1"/>
    </xf>
    <xf numFmtId="0" fontId="6" fillId="3" borderId="7" xfId="0" applyFont="1" applyFill="1" applyBorder="1" applyAlignment="1">
      <alignment horizontal="left" wrapText="1"/>
    </xf>
    <xf numFmtId="0" fontId="4" fillId="0" borderId="11" xfId="0" applyFont="1" applyBorder="1" applyAlignment="1">
      <alignment horizontal="center" vertical="center"/>
    </xf>
    <xf numFmtId="0" fontId="6" fillId="3" borderId="17" xfId="0" applyFont="1" applyFill="1" applyBorder="1" applyAlignment="1">
      <alignment horizontal="center" vertical="center" wrapText="1"/>
    </xf>
    <xf numFmtId="0" fontId="8" fillId="3" borderId="7" xfId="0" applyFont="1" applyFill="1" applyBorder="1" applyAlignment="1">
      <alignment wrapText="1"/>
    </xf>
    <xf numFmtId="0" fontId="8" fillId="3" borderId="7" xfId="0" applyFont="1" applyFill="1" applyBorder="1" applyAlignment="1">
      <alignment horizontal="left" wrapText="1"/>
    </xf>
    <xf numFmtId="0" fontId="3" fillId="3" borderId="7" xfId="0" applyFont="1" applyFill="1" applyBorder="1" applyAlignment="1">
      <alignment horizontal="center" wrapText="1"/>
    </xf>
    <xf numFmtId="0" fontId="3" fillId="3" borderId="7" xfId="0" applyFont="1" applyFill="1" applyBorder="1" applyAlignment="1">
      <alignment horizontal="center" vertical="center" wrapText="1"/>
    </xf>
    <xf numFmtId="0" fontId="6" fillId="0" borderId="0" xfId="0" applyFont="1" applyAlignment="1">
      <alignment wrapText="1"/>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8" fillId="3" borderId="7" xfId="0" applyFont="1" applyFill="1" applyBorder="1" applyAlignment="1">
      <alignment horizontal="left" vertical="center" wrapText="1"/>
    </xf>
    <xf numFmtId="0" fontId="8" fillId="0" borderId="0" xfId="0" applyFont="1" applyAlignment="1">
      <alignment horizontal="left" vertical="center" wrapText="1"/>
    </xf>
    <xf numFmtId="0" fontId="3" fillId="3" borderId="7" xfId="0" applyFont="1" applyFill="1" applyBorder="1" applyAlignment="1">
      <alignment wrapText="1"/>
    </xf>
    <xf numFmtId="0" fontId="6" fillId="3" borderId="18" xfId="0" applyFont="1" applyFill="1" applyBorder="1" applyAlignment="1">
      <alignment horizontal="center" wrapText="1"/>
    </xf>
    <xf numFmtId="0" fontId="6" fillId="3" borderId="13" xfId="0" applyFont="1" applyFill="1" applyBorder="1" applyAlignment="1">
      <alignment horizontal="left" wrapText="1"/>
    </xf>
    <xf numFmtId="0" fontId="3" fillId="3" borderId="13" xfId="0" applyFont="1" applyFill="1" applyBorder="1" applyAlignment="1">
      <alignment horizontal="center" wrapText="1"/>
    </xf>
    <xf numFmtId="0" fontId="3" fillId="3" borderId="13" xfId="0" applyFont="1" applyFill="1" applyBorder="1" applyAlignment="1">
      <alignment horizontal="center" vertical="center" wrapText="1"/>
    </xf>
    <xf numFmtId="0" fontId="4"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 xfId="0" applyFont="1" applyBorder="1"/>
    <xf numFmtId="0" fontId="5" fillId="7" borderId="1" xfId="0" applyFont="1" applyFill="1" applyBorder="1" applyAlignment="1">
      <alignment horizontal="left" wrapText="1"/>
    </xf>
    <xf numFmtId="0" fontId="6" fillId="3" borderId="13" xfId="0" applyFont="1" applyFill="1" applyBorder="1" applyAlignment="1">
      <alignment horizontal="left" vertical="center" wrapText="1"/>
    </xf>
    <xf numFmtId="0" fontId="6" fillId="3" borderId="19" xfId="0" applyFont="1" applyFill="1" applyBorder="1" applyAlignment="1">
      <alignment horizontal="center" wrapText="1"/>
    </xf>
    <xf numFmtId="0" fontId="6" fillId="3" borderId="20" xfId="0" applyFont="1" applyFill="1" applyBorder="1" applyAlignment="1">
      <alignment horizontal="left" wrapText="1"/>
    </xf>
    <xf numFmtId="0" fontId="6" fillId="3" borderId="14" xfId="0" applyFont="1" applyFill="1" applyBorder="1" applyAlignment="1">
      <alignment horizontal="center" wrapText="1"/>
    </xf>
    <xf numFmtId="0" fontId="6" fillId="3" borderId="20" xfId="0" applyFont="1" applyFill="1" applyBorder="1" applyAlignment="1">
      <alignment horizontal="center" vertical="center" wrapText="1"/>
    </xf>
    <xf numFmtId="0" fontId="9" fillId="2" borderId="1" xfId="0"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0" fontId="10" fillId="0" borderId="1" xfId="0" applyFont="1" applyBorder="1" applyAlignment="1">
      <alignment wrapText="1"/>
    </xf>
    <xf numFmtId="164" fontId="10" fillId="0" borderId="1" xfId="0" applyNumberFormat="1" applyFont="1" applyBorder="1" applyAlignment="1">
      <alignment wrapText="1"/>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164" fontId="3" fillId="0" borderId="0" xfId="0" applyNumberFormat="1" applyFont="1" applyAlignment="1">
      <alignment wrapText="1"/>
    </xf>
    <xf numFmtId="165" fontId="3" fillId="0" borderId="0" xfId="0" applyNumberFormat="1" applyFont="1" applyAlignment="1">
      <alignment wrapText="1"/>
    </xf>
    <xf numFmtId="0" fontId="3" fillId="0" borderId="0" xfId="0" applyFont="1" applyAlignment="1">
      <alignment horizontal="justify" wrapText="1"/>
    </xf>
    <xf numFmtId="0" fontId="3" fillId="0" borderId="0" xfId="0" applyFont="1" applyAlignment="1">
      <alignment vertical="center" wrapText="1"/>
    </xf>
    <xf numFmtId="0" fontId="3" fillId="0" borderId="0" xfId="0" applyFont="1" applyAlignment="1">
      <alignment horizontal="center" vertical="center" wrapText="1"/>
    </xf>
    <xf numFmtId="0" fontId="9" fillId="2" borderId="1" xfId="0" applyFont="1" applyFill="1" applyBorder="1" applyAlignment="1">
      <alignment horizontal="justify" vertical="center" wrapText="1"/>
    </xf>
    <xf numFmtId="0" fontId="10" fillId="8" borderId="1" xfId="0" applyFont="1" applyFill="1" applyBorder="1" applyAlignment="1">
      <alignment horizontal="center" vertical="center" wrapText="1"/>
    </xf>
    <xf numFmtId="0" fontId="10" fillId="0" borderId="1" xfId="0" applyFont="1" applyBorder="1" applyAlignment="1">
      <alignment horizontal="justify" vertical="center" wrapText="1"/>
    </xf>
    <xf numFmtId="0" fontId="10"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0" fillId="0" borderId="1" xfId="0" applyFont="1" applyBorder="1" applyAlignment="1">
      <alignment vertical="center" wrapText="1"/>
    </xf>
    <xf numFmtId="0" fontId="10" fillId="12"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165" fontId="7" fillId="0" borderId="7" xfId="0" applyNumberFormat="1" applyFont="1" applyBorder="1" applyAlignment="1">
      <alignment horizontal="center" vertical="center" wrapText="1"/>
    </xf>
    <xf numFmtId="165" fontId="7" fillId="3" borderId="1" xfId="0" applyNumberFormat="1" applyFont="1" applyFill="1" applyBorder="1" applyAlignment="1">
      <alignment horizontal="center" vertical="center" wrapText="1"/>
    </xf>
    <xf numFmtId="165" fontId="7" fillId="5" borderId="1" xfId="0" quotePrefix="1"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165" fontId="7" fillId="3" borderId="7" xfId="0" applyNumberFormat="1" applyFont="1" applyFill="1" applyBorder="1" applyAlignment="1">
      <alignment horizontal="center" vertical="center" wrapText="1"/>
    </xf>
    <xf numFmtId="165" fontId="7" fillId="3" borderId="13" xfId="0" applyNumberFormat="1" applyFont="1" applyFill="1" applyBorder="1" applyAlignment="1">
      <alignment horizontal="center" vertical="center" wrapText="1"/>
    </xf>
    <xf numFmtId="165" fontId="7" fillId="3" borderId="14" xfId="0" applyNumberFormat="1" applyFont="1" applyFill="1" applyBorder="1" applyAlignment="1">
      <alignment horizontal="center" vertical="center" wrapText="1"/>
    </xf>
    <xf numFmtId="165" fontId="0" fillId="0" borderId="0" xfId="0" applyNumberFormat="1"/>
    <xf numFmtId="165" fontId="3" fillId="0" borderId="0" xfId="0" applyNumberFormat="1"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tabSelected="1" zoomScaleNormal="100" workbookViewId="0">
      <pane xSplit="3" ySplit="1" topLeftCell="D2" activePane="bottomRight" state="frozen"/>
      <selection pane="topRight" activeCell="D1" sqref="D1"/>
      <selection pane="bottomLeft" activeCell="A2" sqref="A2"/>
      <selection pane="bottomRight" activeCell="C13" sqref="C13"/>
    </sheetView>
  </sheetViews>
  <sheetFormatPr defaultColWidth="8.85546875" defaultRowHeight="15.75" x14ac:dyDescent="0.25"/>
  <cols>
    <col min="1" max="1" width="36.85546875" style="109" customWidth="1"/>
    <col min="2" max="2" width="13.140625" style="110" customWidth="1"/>
    <col min="3" max="3" width="56.28515625" style="108" customWidth="1"/>
    <col min="4" max="4" width="20.140625" style="105" customWidth="1"/>
    <col min="5" max="5" width="14.28515625" style="107" customWidth="1"/>
    <col min="6" max="6" width="19.85546875" style="131" customWidth="1"/>
    <col min="7" max="7" width="18.7109375" style="106" customWidth="1"/>
    <col min="8" max="8" width="22.28515625" style="105" customWidth="1"/>
    <col min="9" max="9" width="25" style="105" customWidth="1"/>
    <col min="10" max="16384" width="8.85546875" style="103"/>
  </cols>
  <sheetData>
    <row r="1" spans="1:9" ht="48" customHeight="1" x14ac:dyDescent="0.25">
      <c r="A1" s="94" t="s">
        <v>0</v>
      </c>
      <c r="B1" s="94" t="s">
        <v>1</v>
      </c>
      <c r="C1" s="111" t="s">
        <v>2</v>
      </c>
      <c r="D1" s="94" t="s">
        <v>3</v>
      </c>
      <c r="E1" s="96" t="s">
        <v>4</v>
      </c>
      <c r="F1" s="96" t="s">
        <v>23</v>
      </c>
      <c r="G1" s="95" t="s">
        <v>24</v>
      </c>
      <c r="H1" s="94" t="s">
        <v>25</v>
      </c>
      <c r="I1" s="94" t="s">
        <v>26</v>
      </c>
    </row>
    <row r="2" spans="1:9" s="104" customFormat="1" x14ac:dyDescent="0.25">
      <c r="A2" s="97" t="s">
        <v>5</v>
      </c>
      <c r="B2" s="112" t="s">
        <v>6</v>
      </c>
      <c r="C2" s="113" t="str">
        <f>Sheet1!F5</f>
        <v>Kế hoạch thực hiện Nghị Quyết 59 của Bộ Chính trị</v>
      </c>
      <c r="D2" s="98"/>
      <c r="E2" s="100">
        <v>46113</v>
      </c>
      <c r="F2" s="100">
        <v>46122</v>
      </c>
      <c r="G2" s="99"/>
      <c r="H2" s="98" t="s">
        <v>28</v>
      </c>
      <c r="I2" s="98" t="s">
        <v>16</v>
      </c>
    </row>
    <row r="3" spans="1:9" x14ac:dyDescent="0.25">
      <c r="A3" s="97" t="s">
        <v>5</v>
      </c>
      <c r="B3" s="112" t="s">
        <v>6</v>
      </c>
      <c r="C3" s="113" t="str">
        <f>Sheet1!F6</f>
        <v>Báo cáo công tác Đoàn tháng 4</v>
      </c>
      <c r="D3" s="101"/>
      <c r="E3" s="100">
        <v>46113</v>
      </c>
      <c r="F3" s="100">
        <f>Sheet1!I6</f>
        <v>46127</v>
      </c>
      <c r="G3" s="102"/>
      <c r="H3" s="98" t="s">
        <v>170</v>
      </c>
      <c r="I3" s="98" t="s">
        <v>16</v>
      </c>
    </row>
    <row r="4" spans="1:9" x14ac:dyDescent="0.25">
      <c r="A4" s="97" t="s">
        <v>5</v>
      </c>
      <c r="B4" s="112" t="s">
        <v>6</v>
      </c>
      <c r="C4" s="113" t="str">
        <f>Sheet1!F7</f>
        <v>Hướng dẫn xử lý văn bản bí mật nhà nước</v>
      </c>
      <c r="D4" s="101"/>
      <c r="E4" s="100">
        <v>46113</v>
      </c>
      <c r="F4" s="100">
        <f>Sheet1!I7</f>
        <v>46122</v>
      </c>
      <c r="G4" s="102"/>
      <c r="H4" s="98" t="s">
        <v>28</v>
      </c>
      <c r="I4" s="98" t="s">
        <v>16</v>
      </c>
    </row>
    <row r="5" spans="1:9" x14ac:dyDescent="0.25">
      <c r="A5" s="97" t="s">
        <v>5</v>
      </c>
      <c r="B5" s="112" t="s">
        <v>6</v>
      </c>
      <c r="C5" s="113" t="str">
        <f>Sheet1!F8</f>
        <v>Báo cáo điều tra cơ sở hành chính sự nghiệp năm 2026</v>
      </c>
      <c r="D5" s="101"/>
      <c r="E5" s="100">
        <v>46113</v>
      </c>
      <c r="F5" s="100">
        <f>Sheet1!I8</f>
        <v>46122</v>
      </c>
      <c r="G5" s="102"/>
      <c r="H5" s="98" t="s">
        <v>176</v>
      </c>
      <c r="I5" s="98" t="s">
        <v>16</v>
      </c>
    </row>
    <row r="6" spans="1:9" x14ac:dyDescent="0.25">
      <c r="A6" s="97" t="s">
        <v>5</v>
      </c>
      <c r="B6" s="112" t="s">
        <v>6</v>
      </c>
      <c r="C6" s="113" t="str">
        <f>Sheet1!F9</f>
        <v>Tham mưu lịch công tác Tháng và Tuần của Thường trực</v>
      </c>
      <c r="D6" s="101"/>
      <c r="E6" s="100">
        <v>46113</v>
      </c>
      <c r="F6" s="100">
        <v>46142</v>
      </c>
      <c r="G6" s="102"/>
      <c r="H6" s="98" t="s">
        <v>170</v>
      </c>
      <c r="I6" s="98" t="s">
        <v>16</v>
      </c>
    </row>
    <row r="7" spans="1:9" x14ac:dyDescent="0.25">
      <c r="A7" s="97" t="s">
        <v>5</v>
      </c>
      <c r="B7" s="112" t="s">
        <v>6</v>
      </c>
      <c r="C7" s="113" t="str">
        <f>Sheet1!F10</f>
        <v>Thông báo kết quả giao ban tháng 4</v>
      </c>
      <c r="D7" s="101"/>
      <c r="E7" s="100">
        <v>46113</v>
      </c>
      <c r="F7" s="100">
        <v>46122</v>
      </c>
      <c r="G7" s="102"/>
      <c r="H7" s="98" t="s">
        <v>19</v>
      </c>
      <c r="I7" s="98" t="s">
        <v>16</v>
      </c>
    </row>
    <row r="8" spans="1:9" x14ac:dyDescent="0.25">
      <c r="A8" s="97" t="s">
        <v>5</v>
      </c>
      <c r="B8" s="112" t="s">
        <v>6</v>
      </c>
      <c r="C8" s="113" t="str">
        <f>Sheet1!F11</f>
        <v>Tham mưu tài liệu họp Ban Thường vụ Tỉnh đoàn tháng 4</v>
      </c>
      <c r="D8" s="101"/>
      <c r="E8" s="100">
        <v>46113</v>
      </c>
      <c r="F8" s="100">
        <f>Sheet1!I11</f>
        <v>46127</v>
      </c>
      <c r="G8" s="102"/>
      <c r="H8" s="98" t="s">
        <v>19</v>
      </c>
      <c r="I8" s="98" t="s">
        <v>16</v>
      </c>
    </row>
    <row r="9" spans="1:9" ht="25.5" x14ac:dyDescent="0.25">
      <c r="A9" s="97" t="s">
        <v>5</v>
      </c>
      <c r="B9" s="112" t="s">
        <v>6</v>
      </c>
      <c r="C9" s="113" t="str">
        <f>Sheet1!F12</f>
        <v>Rà soát điều chỉnh Quy chế thi chi tiêu nội bộ tại Ban Công tác Đoàn và TTN</v>
      </c>
      <c r="D9" s="101"/>
      <c r="E9" s="100">
        <v>46113</v>
      </c>
      <c r="F9" s="100">
        <v>46127</v>
      </c>
      <c r="G9" s="102"/>
      <c r="H9" s="98" t="s">
        <v>176</v>
      </c>
      <c r="I9" s="98" t="s">
        <v>16</v>
      </c>
    </row>
    <row r="10" spans="1:9" ht="25.5" x14ac:dyDescent="0.25">
      <c r="A10" s="97" t="s">
        <v>5</v>
      </c>
      <c r="B10" s="112" t="s">
        <v>6</v>
      </c>
      <c r="C10" s="113" t="str">
        <f>Sheet1!F13</f>
        <v>Báo cáo các nội dung liên quan phục vụ làm việc với Đoàn kiểm tra của Bộ Chính trị, Ban Bí thư</v>
      </c>
      <c r="D10" s="101"/>
      <c r="E10" s="100">
        <v>46113</v>
      </c>
      <c r="F10" s="100">
        <f>Sheet1!I13</f>
        <v>46120</v>
      </c>
      <c r="G10" s="102"/>
      <c r="H10" s="98" t="s">
        <v>19</v>
      </c>
      <c r="I10" s="98" t="s">
        <v>16</v>
      </c>
    </row>
    <row r="11" spans="1:9" x14ac:dyDescent="0.25">
      <c r="A11" s="97" t="s">
        <v>5</v>
      </c>
      <c r="B11" s="112" t="s">
        <v>6</v>
      </c>
      <c r="C11" s="113" t="str">
        <f>Sheet1!F14</f>
        <v>Quyết toán kinh phí hoạt động đã tổ chức</v>
      </c>
      <c r="D11" s="101"/>
      <c r="E11" s="100">
        <v>46113</v>
      </c>
      <c r="F11" s="100">
        <f>Sheet1!I14</f>
        <v>46132</v>
      </c>
      <c r="G11" s="102"/>
      <c r="H11" s="98" t="s">
        <v>176</v>
      </c>
      <c r="I11" s="98" t="s">
        <v>16</v>
      </c>
    </row>
    <row r="12" spans="1:9" x14ac:dyDescent="0.25">
      <c r="A12" s="97" t="s">
        <v>5</v>
      </c>
      <c r="B12" s="112" t="s">
        <v>6</v>
      </c>
      <c r="C12" s="113" t="str">
        <f>Sheet1!F15</f>
        <v>Phối hợp với văn phòng MTTQ bàn giao tài sản, nhà đất</v>
      </c>
      <c r="D12" s="101"/>
      <c r="E12" s="100">
        <v>46113</v>
      </c>
      <c r="F12" s="100">
        <f>Sheet1!I15</f>
        <v>46132</v>
      </c>
      <c r="G12" s="102"/>
      <c r="H12" s="98" t="s">
        <v>19</v>
      </c>
      <c r="I12" s="98" t="s">
        <v>16</v>
      </c>
    </row>
    <row r="13" spans="1:9" ht="25.5" x14ac:dyDescent="0.25">
      <c r="A13" s="97" t="s">
        <v>5</v>
      </c>
      <c r="B13" s="112" t="s">
        <v>6</v>
      </c>
      <c r="C13" s="113" t="str">
        <f>Sheet1!F16</f>
        <v>Kê khai thông tin trên hệ thống Điều tra cơ sở hành chính, sự nghiệp của Bộ Nội vụ</v>
      </c>
      <c r="D13" s="101"/>
      <c r="E13" s="100">
        <v>46113</v>
      </c>
      <c r="F13" s="100">
        <v>46122</v>
      </c>
      <c r="G13" s="102"/>
      <c r="H13" s="98" t="s">
        <v>19</v>
      </c>
      <c r="I13" s="98" t="s">
        <v>16</v>
      </c>
    </row>
    <row r="14" spans="1:9" ht="25.5" x14ac:dyDescent="0.25">
      <c r="A14" s="97" t="s">
        <v>5</v>
      </c>
      <c r="B14" s="112" t="s">
        <v>6</v>
      </c>
      <c r="C14" s="113" t="str">
        <f>Sheet1!F17</f>
        <v>Tham mưu các nội dung bàn giao tài sản và trụ sở cơ quan cũ cho cấp có thẩm quyền</v>
      </c>
      <c r="D14" s="101"/>
      <c r="E14" s="100">
        <v>46113</v>
      </c>
      <c r="F14" s="100">
        <v>46122</v>
      </c>
      <c r="G14" s="102"/>
      <c r="H14" s="98" t="s">
        <v>19</v>
      </c>
      <c r="I14" s="98" t="s">
        <v>16</v>
      </c>
    </row>
    <row r="15" spans="1:9" ht="38.25" x14ac:dyDescent="0.25">
      <c r="A15" s="97" t="s">
        <v>5</v>
      </c>
      <c r="B15" s="112" t="s">
        <v>6</v>
      </c>
      <c r="C15" s="113" t="str">
        <f>Sheet1!F18</f>
        <v>Tiếp tục tham mưu giải quyết tồn động của các Tỉnh đoàn cũ (Dự án công viên Hoa Thanh niên; Sân bóng; Trung tâm SHDNTTN Bình Thuận</v>
      </c>
      <c r="D15" s="101"/>
      <c r="E15" s="100">
        <v>46113</v>
      </c>
      <c r="F15" s="100">
        <v>46142</v>
      </c>
      <c r="G15" s="102"/>
      <c r="H15" s="98" t="s">
        <v>19</v>
      </c>
      <c r="I15" s="98" t="s">
        <v>16</v>
      </c>
    </row>
    <row r="16" spans="1:9" x14ac:dyDescent="0.25">
      <c r="A16" s="97" t="s">
        <v>5</v>
      </c>
      <c r="B16" s="112" t="s">
        <v>6</v>
      </c>
      <c r="C16" s="113" t="str">
        <f>Sheet1!F19</f>
        <v>Rà soát kết quả thực hiện BTC quý 1 triển khai nhiệm vụ quý 2</v>
      </c>
      <c r="D16" s="101"/>
      <c r="E16" s="100">
        <v>46113</v>
      </c>
      <c r="F16" s="100">
        <v>46142</v>
      </c>
      <c r="G16" s="102"/>
      <c r="H16" s="98" t="s">
        <v>19</v>
      </c>
      <c r="I16" s="98" t="s">
        <v>16</v>
      </c>
    </row>
    <row r="17" spans="1:9" x14ac:dyDescent="0.25">
      <c r="A17" s="97" t="s">
        <v>5</v>
      </c>
      <c r="B17" s="112" t="s">
        <v>6</v>
      </c>
      <c r="C17" s="113" t="str">
        <f>Sheet1!F20</f>
        <v>Lịch trực Ban nghĩ lễ Giỗ tổ Hùng Vương và 30/4</v>
      </c>
      <c r="D17" s="101"/>
      <c r="E17" s="100">
        <v>46113</v>
      </c>
      <c r="F17" s="100">
        <v>46142</v>
      </c>
      <c r="G17" s="102"/>
      <c r="H17" s="98" t="s">
        <v>28</v>
      </c>
      <c r="I17" s="98" t="s">
        <v>16</v>
      </c>
    </row>
    <row r="18" spans="1:9" ht="25.5" x14ac:dyDescent="0.25">
      <c r="A18" s="97" t="s">
        <v>5</v>
      </c>
      <c r="B18" s="114" t="s">
        <v>8</v>
      </c>
      <c r="C18" s="113" t="str">
        <f>Sheet1!F21</f>
        <v>Hướng dẫn tuyên truyền kỷ niệm 136 năm Ngày sinh Chỉ tịch Hồ Chí Minh</v>
      </c>
      <c r="D18" s="101"/>
      <c r="E18" s="100">
        <v>46113</v>
      </c>
      <c r="F18" s="100">
        <f>Sheet1!I21</f>
        <v>46132</v>
      </c>
      <c r="G18" s="102"/>
      <c r="H18" s="98" t="s">
        <v>171</v>
      </c>
      <c r="I18" s="98" t="s">
        <v>16</v>
      </c>
    </row>
    <row r="19" spans="1:9" x14ac:dyDescent="0.25">
      <c r="A19" s="97" t="s">
        <v>5</v>
      </c>
      <c r="B19" s="114" t="s">
        <v>8</v>
      </c>
      <c r="C19" s="113" t="str">
        <f>Sheet1!F22</f>
        <v>Báo cáo dư luận hàng tuần, tháng</v>
      </c>
      <c r="D19" s="101"/>
      <c r="E19" s="100">
        <v>46113</v>
      </c>
      <c r="F19" s="100">
        <v>46126</v>
      </c>
      <c r="G19" s="102"/>
      <c r="H19" s="98" t="s">
        <v>178</v>
      </c>
      <c r="I19" s="98" t="s">
        <v>16</v>
      </c>
    </row>
    <row r="20" spans="1:9" x14ac:dyDescent="0.25">
      <c r="A20" s="97" t="s">
        <v>5</v>
      </c>
      <c r="B20" s="114" t="s">
        <v>8</v>
      </c>
      <c r="C20" s="113" t="str">
        <f>Sheet1!F23</f>
        <v>KH, Thể lệ Cuộc thi trực tuyến tìm hiểu Nghị quyết Đại hội</v>
      </c>
      <c r="D20" s="101"/>
      <c r="E20" s="100">
        <v>46113</v>
      </c>
      <c r="F20" s="100">
        <v>46142</v>
      </c>
      <c r="G20" s="102"/>
      <c r="H20" s="98" t="s">
        <v>178</v>
      </c>
      <c r="I20" s="98" t="s">
        <v>18</v>
      </c>
    </row>
    <row r="21" spans="1:9" x14ac:dyDescent="0.25">
      <c r="A21" s="97" t="s">
        <v>5</v>
      </c>
      <c r="B21" s="114" t="s">
        <v>8</v>
      </c>
      <c r="C21" s="113" t="str">
        <f>Sheet1!F24</f>
        <v>QĐ trao giải Minigame tìm hiểu pháp luật về bầu cử</v>
      </c>
      <c r="D21" s="101"/>
      <c r="E21" s="100">
        <v>46113</v>
      </c>
      <c r="F21" s="100">
        <v>46142</v>
      </c>
      <c r="G21" s="102"/>
      <c r="H21" s="98" t="s">
        <v>178</v>
      </c>
      <c r="I21" s="98" t="s">
        <v>16</v>
      </c>
    </row>
    <row r="22" spans="1:9" ht="25.5" x14ac:dyDescent="0.25">
      <c r="A22" s="97" t="s">
        <v>5</v>
      </c>
      <c r="B22" s="114" t="s">
        <v>8</v>
      </c>
      <c r="C22" s="113" t="str">
        <f>Sheet1!F25</f>
        <v>Các văn bản triển khai công tác 35 Tỉnh đoàn (văn bản mật, báo cáo định kỳ)</v>
      </c>
      <c r="D22" s="101"/>
      <c r="E22" s="100">
        <v>46113</v>
      </c>
      <c r="F22" s="100">
        <v>46142</v>
      </c>
      <c r="G22" s="102"/>
      <c r="H22" s="98" t="s">
        <v>171</v>
      </c>
      <c r="I22" s="98" t="s">
        <v>16</v>
      </c>
    </row>
    <row r="23" spans="1:9" ht="25.5" x14ac:dyDescent="0.25">
      <c r="A23" s="97" t="s">
        <v>5</v>
      </c>
      <c r="B23" s="114" t="s">
        <v>8</v>
      </c>
      <c r="C23" s="113" t="str">
        <f>Sheet1!F26</f>
        <v>KH tổ chức Hành trình "Tuổi trẻ Lâm Đồng với biển đảo quê hương" năm 2026</v>
      </c>
      <c r="D23" s="101"/>
      <c r="E23" s="100">
        <v>46113</v>
      </c>
      <c r="F23" s="100">
        <f>Sheet1!I26</f>
        <v>46122</v>
      </c>
      <c r="G23" s="102"/>
      <c r="H23" s="98" t="s">
        <v>171</v>
      </c>
      <c r="I23" s="98" t="s">
        <v>16</v>
      </c>
    </row>
    <row r="24" spans="1:9" ht="25.5" x14ac:dyDescent="0.25">
      <c r="A24" s="97" t="s">
        <v>5</v>
      </c>
      <c r="B24" s="114" t="s">
        <v>8</v>
      </c>
      <c r="C24" s="113" t="str">
        <f>Sheet1!F27</f>
        <v xml:space="preserve"> KH tổ chức Liên hoan tuyên truyền ca khúc cách mạng tỉnh Lâm Đồng năm 2026</v>
      </c>
      <c r="D24" s="101"/>
      <c r="E24" s="100">
        <v>46113</v>
      </c>
      <c r="F24" s="100">
        <f>Sheet1!I27</f>
        <v>46122</v>
      </c>
      <c r="G24" s="102"/>
      <c r="H24" s="98" t="s">
        <v>171</v>
      </c>
      <c r="I24" s="98" t="s">
        <v>16</v>
      </c>
    </row>
    <row r="25" spans="1:9" x14ac:dyDescent="0.25">
      <c r="A25" s="97" t="s">
        <v>5</v>
      </c>
      <c r="B25" s="114" t="s">
        <v>8</v>
      </c>
      <c r="C25" s="113" t="str">
        <f>Sheet1!F28</f>
        <v>Báo cáo dư luận tháng 5</v>
      </c>
      <c r="D25" s="101"/>
      <c r="E25" s="100">
        <v>46113</v>
      </c>
      <c r="F25" s="100">
        <v>46132</v>
      </c>
      <c r="G25" s="102"/>
      <c r="H25" s="98" t="s">
        <v>178</v>
      </c>
      <c r="I25" s="98" t="s">
        <v>16</v>
      </c>
    </row>
    <row r="26" spans="1:9" x14ac:dyDescent="0.25">
      <c r="A26" s="97" t="s">
        <v>5</v>
      </c>
      <c r="B26" s="114" t="s">
        <v>8</v>
      </c>
      <c r="C26" s="113" t="str">
        <f>Sheet1!F29</f>
        <v>Hướng dẫn tuyên truyền tháng 5</v>
      </c>
      <c r="D26" s="101"/>
      <c r="E26" s="100">
        <v>46113</v>
      </c>
      <c r="F26" s="100">
        <v>46132</v>
      </c>
      <c r="G26" s="102"/>
      <c r="H26" s="98" t="s">
        <v>178</v>
      </c>
      <c r="I26" s="98" t="s">
        <v>16</v>
      </c>
    </row>
    <row r="27" spans="1:9" x14ac:dyDescent="0.25">
      <c r="A27" s="97" t="s">
        <v>5</v>
      </c>
      <c r="B27" s="114" t="s">
        <v>8</v>
      </c>
      <c r="C27" s="113" t="str">
        <f>Sheet1!F30</f>
        <v>CV giới thiệu nhân sự CTV Phòng chống tác hại của thuốc lá</v>
      </c>
      <c r="D27" s="101"/>
      <c r="E27" s="100">
        <v>46113</v>
      </c>
      <c r="F27" s="100">
        <v>46117</v>
      </c>
      <c r="G27" s="102"/>
      <c r="H27" s="98" t="s">
        <v>171</v>
      </c>
      <c r="I27" s="98" t="s">
        <v>16</v>
      </c>
    </row>
    <row r="28" spans="1:9" ht="38.25" x14ac:dyDescent="0.25">
      <c r="A28" s="97" t="s">
        <v>5</v>
      </c>
      <c r="B28" s="114" t="s">
        <v>8</v>
      </c>
      <c r="C28" s="113" t="str">
        <f>Sheet1!F31</f>
        <v xml:space="preserve"> KH tổ chức tuyên dương “Thanh niên tiên tiến làm theo lời Bác” nhân kỷ niệm 136 năm Ngày sinh Chủ tịch Hồ Chí Minh (19/5/1890 - 19/5/2026)</v>
      </c>
      <c r="D28" s="101"/>
      <c r="E28" s="100">
        <v>46113</v>
      </c>
      <c r="F28" s="100">
        <v>46127</v>
      </c>
      <c r="G28" s="102"/>
      <c r="H28" s="98" t="s">
        <v>19</v>
      </c>
      <c r="I28" s="98" t="s">
        <v>16</v>
      </c>
    </row>
    <row r="29" spans="1:9" ht="25.5" x14ac:dyDescent="0.25">
      <c r="A29" s="97" t="s">
        <v>5</v>
      </c>
      <c r="B29" s="114" t="s">
        <v>8</v>
      </c>
      <c r="C29" s="113" t="str">
        <f>Sheet1!F32</f>
        <v>Kế hoạch tuyên truyền, vận động đoàn viên thanh niên và nhân dân tham gia bảo hiểm y tế toàn dân năm 2026</v>
      </c>
      <c r="D29" s="101"/>
      <c r="E29" s="100">
        <v>46113</v>
      </c>
      <c r="F29" s="100">
        <v>46127</v>
      </c>
      <c r="G29" s="102"/>
      <c r="H29" s="98" t="s">
        <v>19</v>
      </c>
      <c r="I29" s="98" t="s">
        <v>16</v>
      </c>
    </row>
    <row r="30" spans="1:9" ht="25.5" x14ac:dyDescent="0.25">
      <c r="A30" s="97" t="s">
        <v>5</v>
      </c>
      <c r="B30" s="114" t="s">
        <v>8</v>
      </c>
      <c r="C30" s="113" t="str">
        <f>Sheet1!F33</f>
        <v>Kế hoạch tuyên truyền phòng chống tác hại thuốc lá trong đoàn viên thanh niên năm 2026</v>
      </c>
      <c r="D30" s="101"/>
      <c r="E30" s="100">
        <v>46113</v>
      </c>
      <c r="F30" s="100" t="str">
        <f>Sheet1!I33</f>
        <v>15/4/2026</v>
      </c>
      <c r="G30" s="102"/>
      <c r="H30" s="98" t="s">
        <v>171</v>
      </c>
      <c r="I30" s="98" t="s">
        <v>16</v>
      </c>
    </row>
    <row r="31" spans="1:9" x14ac:dyDescent="0.25">
      <c r="A31" s="97" t="s">
        <v>5</v>
      </c>
      <c r="B31" s="114" t="s">
        <v>8</v>
      </c>
      <c r="C31" s="113" t="str">
        <f>Sheet1!F34</f>
        <v>Lễ Phát động Cuộc thi trực tuyến tìm hiểu Nghị quyết Đại hội</v>
      </c>
      <c r="D31" s="101"/>
      <c r="E31" s="100">
        <v>46113</v>
      </c>
      <c r="F31" s="100">
        <v>46118</v>
      </c>
      <c r="G31" s="102"/>
      <c r="H31" s="98" t="s">
        <v>178</v>
      </c>
      <c r="I31" s="98" t="s">
        <v>18</v>
      </c>
    </row>
    <row r="32" spans="1:9" x14ac:dyDescent="0.25">
      <c r="A32" s="97" t="s">
        <v>5</v>
      </c>
      <c r="B32" s="114" t="s">
        <v>8</v>
      </c>
      <c r="C32" s="113" t="str">
        <f>Sheet1!F35</f>
        <v>Trao giải Minigame tìm hiểu pháp luật về bầu cử</v>
      </c>
      <c r="D32" s="101"/>
      <c r="E32" s="100">
        <v>46113</v>
      </c>
      <c r="F32" s="100">
        <v>46129</v>
      </c>
      <c r="G32" s="102"/>
      <c r="H32" s="98" t="s">
        <v>178</v>
      </c>
      <c r="I32" s="98" t="s">
        <v>16</v>
      </c>
    </row>
    <row r="33" spans="1:9" ht="25.5" x14ac:dyDescent="0.25">
      <c r="A33" s="97" t="s">
        <v>5</v>
      </c>
      <c r="B33" s="114" t="s">
        <v>8</v>
      </c>
      <c r="C33" s="113" t="str">
        <f>Sheet1!F36</f>
        <v>Tiếp tục ôn đốc đăng tải triển khai Đề án Những câu chuyện thời hoa lửa</v>
      </c>
      <c r="D33" s="101"/>
      <c r="E33" s="100">
        <v>46113</v>
      </c>
      <c r="F33" s="100">
        <v>46142</v>
      </c>
      <c r="G33" s="102"/>
      <c r="H33" s="98" t="s">
        <v>178</v>
      </c>
      <c r="I33" s="98" t="s">
        <v>16</v>
      </c>
    </row>
    <row r="34" spans="1:9" x14ac:dyDescent="0.25">
      <c r="A34" s="97" t="s">
        <v>5</v>
      </c>
      <c r="B34" s="114" t="s">
        <v>8</v>
      </c>
      <c r="C34" s="113" t="str">
        <f>Sheet1!F37</f>
        <v>Tham mưu các nội dung liên quan đến Lễ hội Giỗ tổ Hùng Vương</v>
      </c>
      <c r="D34" s="101"/>
      <c r="E34" s="100">
        <v>46113</v>
      </c>
      <c r="F34" s="100">
        <v>46138</v>
      </c>
      <c r="G34" s="102"/>
      <c r="H34" s="98" t="s">
        <v>178</v>
      </c>
      <c r="I34" s="98" t="s">
        <v>16</v>
      </c>
    </row>
    <row r="35" spans="1:9" ht="25.5" x14ac:dyDescent="0.25">
      <c r="A35" s="97" t="s">
        <v>5</v>
      </c>
      <c r="B35" s="114" t="s">
        <v>8</v>
      </c>
      <c r="C35" s="113" t="str">
        <f>Sheet1!F38</f>
        <v>Tổ chức Chương trình sinh hoạt chính trị  nhân kỷ niệm 51 năm Giải phóng miền Nam, thống nhất đất nước ngày (30/4/1975 - 30/4/2026)</v>
      </c>
      <c r="D35" s="101"/>
      <c r="E35" s="100">
        <v>46113</v>
      </c>
      <c r="F35" s="100">
        <v>46122</v>
      </c>
      <c r="G35" s="102"/>
      <c r="H35" s="98" t="s">
        <v>171</v>
      </c>
      <c r="I35" s="98" t="s">
        <v>16</v>
      </c>
    </row>
    <row r="36" spans="1:9" ht="25.5" x14ac:dyDescent="0.25">
      <c r="A36" s="97" t="s">
        <v>5</v>
      </c>
      <c r="B36" s="114" t="s">
        <v>8</v>
      </c>
      <c r="C36" s="113" t="str">
        <f>Sheet1!F39</f>
        <v>Tham mưu gửi ấn phẩm phục vụ biên soạn các ấn phẩm chào mừng Đại hội Đoàn toàn quốc lần thứ XII</v>
      </c>
      <c r="D36" s="101"/>
      <c r="E36" s="100">
        <v>46113</v>
      </c>
      <c r="F36" s="100">
        <v>46129</v>
      </c>
      <c r="G36" s="102"/>
      <c r="H36" s="98" t="s">
        <v>178</v>
      </c>
      <c r="I36" s="98" t="s">
        <v>16</v>
      </c>
    </row>
    <row r="37" spans="1:9" x14ac:dyDescent="0.25">
      <c r="A37" s="97" t="s">
        <v>5</v>
      </c>
      <c r="B37" s="114" t="s">
        <v>8</v>
      </c>
      <c r="C37" s="113" t="str">
        <f>Sheet1!F40</f>
        <v>Tuyên truyền kịp thời các hoạt động tập trung cấp tỉnh trong tháng</v>
      </c>
      <c r="D37" s="101"/>
      <c r="E37" s="100">
        <v>46113</v>
      </c>
      <c r="F37" s="100">
        <v>46142</v>
      </c>
      <c r="G37" s="102"/>
      <c r="H37" s="98" t="s">
        <v>178</v>
      </c>
      <c r="I37" s="98" t="s">
        <v>16</v>
      </c>
    </row>
    <row r="38" spans="1:9" ht="25.5" x14ac:dyDescent="0.25">
      <c r="A38" s="97" t="s">
        <v>5</v>
      </c>
      <c r="B38" s="115" t="s">
        <v>10</v>
      </c>
      <c r="C38" s="113" t="str">
        <f>Sheet1!F41</f>
        <v>Kế hoạch rà soát quy hoạch các chức danh chủ chốt của Đoàn năm 2026</v>
      </c>
      <c r="D38" s="101"/>
      <c r="E38" s="100">
        <v>46113</v>
      </c>
      <c r="F38" s="100">
        <v>46122</v>
      </c>
      <c r="G38" s="102"/>
      <c r="H38" s="98" t="s">
        <v>19</v>
      </c>
      <c r="I38" s="98" t="s">
        <v>16</v>
      </c>
    </row>
    <row r="39" spans="1:9" ht="25.5" x14ac:dyDescent="0.25">
      <c r="A39" s="97" t="s">
        <v>5</v>
      </c>
      <c r="B39" s="115" t="s">
        <v>10</v>
      </c>
      <c r="C39" s="113" t="str">
        <f>Sheet1!F42</f>
        <v>CV góp ý dự thảo hướng dẫn quy trình thủ tục kiện toàn bổ sung nhân sự cấp tỉnh</v>
      </c>
      <c r="D39" s="101"/>
      <c r="E39" s="100">
        <v>46113</v>
      </c>
      <c r="F39" s="100">
        <v>46114</v>
      </c>
      <c r="G39" s="102"/>
      <c r="H39" s="98" t="s">
        <v>174</v>
      </c>
      <c r="I39" s="98" t="s">
        <v>18</v>
      </c>
    </row>
    <row r="40" spans="1:9" ht="25.5" x14ac:dyDescent="0.25">
      <c r="A40" s="97" t="s">
        <v>5</v>
      </c>
      <c r="B40" s="115" t="s">
        <v>10</v>
      </c>
      <c r="C40" s="113" t="str">
        <f>Sheet1!F43</f>
        <v>CV góp ý dự thảo Hướng dẫn một số vấn đề cụ thể thi hành Điều lệ Đảng</v>
      </c>
      <c r="D40" s="101"/>
      <c r="E40" s="100">
        <v>46113</v>
      </c>
      <c r="F40" s="100">
        <v>46116</v>
      </c>
      <c r="G40" s="102"/>
      <c r="H40" s="98" t="s">
        <v>19</v>
      </c>
      <c r="I40" s="98" t="s">
        <v>18</v>
      </c>
    </row>
    <row r="41" spans="1:9" ht="25.5" x14ac:dyDescent="0.25">
      <c r="A41" s="97" t="s">
        <v>5</v>
      </c>
      <c r="B41" s="115" t="s">
        <v>10</v>
      </c>
      <c r="C41" s="113" t="str">
        <f>Sheet1!F45</f>
        <v>Văn bản triển khai thực hiện các nội dung liên quan phần mềm Quản lý đoàn viên</v>
      </c>
      <c r="D41" s="101"/>
      <c r="E41" s="100">
        <v>46113</v>
      </c>
      <c r="F41" s="100">
        <v>46132</v>
      </c>
      <c r="G41" s="102"/>
      <c r="H41" s="98" t="s">
        <v>19</v>
      </c>
      <c r="I41" s="98" t="s">
        <v>18</v>
      </c>
    </row>
    <row r="42" spans="1:9" ht="25.5" x14ac:dyDescent="0.25">
      <c r="A42" s="97" t="s">
        <v>5</v>
      </c>
      <c r="B42" s="115" t="s">
        <v>10</v>
      </c>
      <c r="C42" s="113" t="str">
        <f>Sheet1!F46</f>
        <v>Văn bản triển khai thực hiện kiểm tra, giám sát</v>
      </c>
      <c r="D42" s="101"/>
      <c r="E42" s="100">
        <v>46113</v>
      </c>
      <c r="F42" s="100">
        <v>46132</v>
      </c>
      <c r="G42" s="102"/>
      <c r="H42" s="98" t="s">
        <v>174</v>
      </c>
      <c r="I42" s="98" t="s">
        <v>18</v>
      </c>
    </row>
    <row r="43" spans="1:9" ht="25.5" x14ac:dyDescent="0.25">
      <c r="A43" s="97" t="s">
        <v>5</v>
      </c>
      <c r="B43" s="115" t="s">
        <v>10</v>
      </c>
      <c r="C43" s="113" t="str">
        <f>Sheet1!F47</f>
        <v>Kế hoạch giao chỉ tiêu phát triển đoàn viên; giới thiệu đoàn viên ưu tú cho Đảng và phát triển đảng viên trong ĐVTN năm 2026</v>
      </c>
      <c r="D43" s="101"/>
      <c r="E43" s="100">
        <v>46113</v>
      </c>
      <c r="F43" s="100">
        <v>46132</v>
      </c>
      <c r="G43" s="102"/>
      <c r="H43" s="98" t="s">
        <v>174</v>
      </c>
      <c r="I43" s="98" t="s">
        <v>18</v>
      </c>
    </row>
    <row r="44" spans="1:9" ht="25.5" x14ac:dyDescent="0.25">
      <c r="A44" s="97" t="s">
        <v>5</v>
      </c>
      <c r="B44" s="115" t="s">
        <v>10</v>
      </c>
      <c r="C44" s="113" t="str">
        <f>Sheet1!F48</f>
        <v>Báo cáo công tác phòng, chống tham nhũng, lãng phí tiêu cực tháng 4/2026</v>
      </c>
      <c r="D44" s="101"/>
      <c r="E44" s="100">
        <v>46113</v>
      </c>
      <c r="F44" s="100">
        <v>46132</v>
      </c>
      <c r="G44" s="102"/>
      <c r="H44" s="98" t="s">
        <v>174</v>
      </c>
      <c r="I44" s="98" t="s">
        <v>18</v>
      </c>
    </row>
    <row r="45" spans="1:9" ht="25.5" x14ac:dyDescent="0.25">
      <c r="A45" s="97" t="s">
        <v>5</v>
      </c>
      <c r="B45" s="115" t="s">
        <v>10</v>
      </c>
      <c r="C45" s="113" t="str">
        <f>Sheet1!F49</f>
        <v>Đôn đốc triển khai thực hiện các nội dung liên quan phần mềm Quản lý đoàn viên</v>
      </c>
      <c r="D45" s="101"/>
      <c r="E45" s="100">
        <v>46113</v>
      </c>
      <c r="F45" s="100">
        <v>46142</v>
      </c>
      <c r="G45" s="102"/>
      <c r="H45" s="98" t="s">
        <v>174</v>
      </c>
      <c r="I45" s="98" t="s">
        <v>18</v>
      </c>
    </row>
    <row r="46" spans="1:9" ht="25.5" x14ac:dyDescent="0.25">
      <c r="A46" s="97" t="s">
        <v>5</v>
      </c>
      <c r="B46" s="115" t="s">
        <v>10</v>
      </c>
      <c r="C46" s="113" t="str">
        <f>Sheet1!F50</f>
        <v>Triển khai các nội dung liên quan đến việc thành lập tổ chức Đoàn trong doanh nghiệp ngoài Nhà nước</v>
      </c>
      <c r="D46" s="101"/>
      <c r="E46" s="100">
        <v>46113</v>
      </c>
      <c r="F46" s="100">
        <v>46127</v>
      </c>
      <c r="G46" s="102"/>
      <c r="H46" s="98" t="s">
        <v>174</v>
      </c>
      <c r="I46" s="98" t="s">
        <v>18</v>
      </c>
    </row>
    <row r="47" spans="1:9" ht="18" customHeight="1" x14ac:dyDescent="0.25">
      <c r="A47" s="97" t="s">
        <v>5</v>
      </c>
      <c r="B47" s="115" t="s">
        <v>10</v>
      </c>
      <c r="C47" s="113" t="s">
        <v>183</v>
      </c>
      <c r="D47" s="101"/>
      <c r="E47" s="100">
        <v>46113</v>
      </c>
      <c r="F47" s="100">
        <v>46132</v>
      </c>
      <c r="G47" s="102"/>
      <c r="H47" s="98" t="s">
        <v>19</v>
      </c>
      <c r="I47" s="98" t="s">
        <v>16</v>
      </c>
    </row>
    <row r="48" spans="1:9" ht="25.5" x14ac:dyDescent="0.25">
      <c r="A48" s="97" t="s">
        <v>5</v>
      </c>
      <c r="B48" s="115" t="s">
        <v>10</v>
      </c>
      <c r="C48" s="113" t="str">
        <f>Sheet1!F53</f>
        <v>Tham mưu các nội dung liên quan đến các hợp đồng lao động ngoài biên chế</v>
      </c>
      <c r="D48" s="101"/>
      <c r="E48" s="100">
        <v>46113</v>
      </c>
      <c r="F48" s="100">
        <v>46127</v>
      </c>
      <c r="G48" s="102"/>
      <c r="H48" s="98" t="s">
        <v>174</v>
      </c>
      <c r="I48" s="98" t="s">
        <v>16</v>
      </c>
    </row>
    <row r="49" spans="1:9" ht="25.5" x14ac:dyDescent="0.25">
      <c r="A49" s="97" t="s">
        <v>5</v>
      </c>
      <c r="B49" s="115" t="s">
        <v>10</v>
      </c>
      <c r="C49" s="113" t="str">
        <f>Sheet1!F54</f>
        <v>Kiểm tra, giám sát cơ sở</v>
      </c>
      <c r="D49" s="101"/>
      <c r="E49" s="100">
        <v>46113</v>
      </c>
      <c r="F49" s="100">
        <v>46142</v>
      </c>
      <c r="G49" s="102"/>
      <c r="H49" s="98" t="s">
        <v>174</v>
      </c>
      <c r="I49" s="98" t="s">
        <v>18</v>
      </c>
    </row>
    <row r="50" spans="1:9" ht="25.5" x14ac:dyDescent="0.25">
      <c r="A50" s="97" t="s">
        <v>5</v>
      </c>
      <c r="B50" s="115" t="s">
        <v>10</v>
      </c>
      <c r="C50" s="113" t="str">
        <f>Sheet1!F56</f>
        <v>Triển khai đăng tải tài liệu sinh hoạt chi đoàn tháng 4/2026</v>
      </c>
      <c r="D50" s="101"/>
      <c r="E50" s="100">
        <v>46113</v>
      </c>
      <c r="F50" s="100">
        <v>46121</v>
      </c>
      <c r="G50" s="102"/>
      <c r="H50" s="98" t="s">
        <v>174</v>
      </c>
      <c r="I50" s="98" t="s">
        <v>18</v>
      </c>
    </row>
    <row r="51" spans="1:9" ht="25.5" x14ac:dyDescent="0.25">
      <c r="A51" s="97" t="s">
        <v>5</v>
      </c>
      <c r="B51" s="115" t="s">
        <v>10</v>
      </c>
      <c r="C51" s="113" t="str">
        <f>Sheet1!F57</f>
        <v>Phối hợp tham mưu công tác nhân sự của Hội LHTN Việt Nam tỉnh</v>
      </c>
      <c r="D51" s="101"/>
      <c r="E51" s="100">
        <v>46113</v>
      </c>
      <c r="F51" s="100">
        <v>46137</v>
      </c>
      <c r="G51" s="102"/>
      <c r="H51" s="98" t="s">
        <v>174</v>
      </c>
      <c r="I51" s="98" t="s">
        <v>18</v>
      </c>
    </row>
    <row r="52" spans="1:9" ht="25.5" x14ac:dyDescent="0.25">
      <c r="A52" s="117" t="s">
        <v>7</v>
      </c>
      <c r="B52" s="116" t="s">
        <v>11</v>
      </c>
      <c r="C52" s="113" t="str">
        <f>Sheet1!F60</f>
        <v>KH triển khai Đề án "Thanh niên tham gia bảo tồn, phát huy bản sắc văn hóa dân tộc Việt Nam"</v>
      </c>
      <c r="D52" s="101"/>
      <c r="E52" s="100">
        <v>46113</v>
      </c>
      <c r="F52" s="100">
        <v>46127</v>
      </c>
      <c r="G52" s="102"/>
      <c r="H52" s="98" t="s">
        <v>180</v>
      </c>
      <c r="I52" s="98" t="s">
        <v>27</v>
      </c>
    </row>
    <row r="53" spans="1:9" x14ac:dyDescent="0.25">
      <c r="A53" s="117" t="s">
        <v>7</v>
      </c>
      <c r="B53" s="116" t="s">
        <v>11</v>
      </c>
      <c r="C53" s="113" t="str">
        <f>Sheet1!F61</f>
        <v>KH Thắp sáng ước mơ hoàn lương</v>
      </c>
      <c r="D53" s="101"/>
      <c r="E53" s="100">
        <v>46113</v>
      </c>
      <c r="F53" s="100">
        <v>46122</v>
      </c>
      <c r="G53" s="102"/>
      <c r="H53" s="98" t="s">
        <v>20</v>
      </c>
      <c r="I53" s="98" t="s">
        <v>27</v>
      </c>
    </row>
    <row r="54" spans="1:9" x14ac:dyDescent="0.25">
      <c r="A54" s="117" t="s">
        <v>7</v>
      </c>
      <c r="B54" s="116" t="s">
        <v>11</v>
      </c>
      <c r="C54" s="113" t="str">
        <f>Sheet1!F62</f>
        <v>Báo cáo tổng kết Tháng Thanh niên năm 2026</v>
      </c>
      <c r="D54" s="101"/>
      <c r="E54" s="100">
        <v>46113</v>
      </c>
      <c r="F54" s="100">
        <v>46118</v>
      </c>
      <c r="G54" s="102"/>
      <c r="H54" s="98" t="s">
        <v>20</v>
      </c>
      <c r="I54" s="98" t="s">
        <v>18</v>
      </c>
    </row>
    <row r="55" spans="1:9" x14ac:dyDescent="0.25">
      <c r="A55" s="117" t="s">
        <v>7</v>
      </c>
      <c r="B55" s="116" t="s">
        <v>11</v>
      </c>
      <c r="C55" s="113" t="str">
        <f>Sheet1!F63</f>
        <v>Dự thảo Đề án hỗ trợ thanh niên khởi nghiệp</v>
      </c>
      <c r="D55" s="101"/>
      <c r="E55" s="100">
        <v>46113</v>
      </c>
      <c r="F55" s="100">
        <v>46140</v>
      </c>
      <c r="G55" s="102"/>
      <c r="H55" s="98" t="s">
        <v>177</v>
      </c>
      <c r="I55" s="98" t="s">
        <v>27</v>
      </c>
    </row>
    <row r="56" spans="1:9" x14ac:dyDescent="0.25">
      <c r="A56" s="117" t="s">
        <v>7</v>
      </c>
      <c r="B56" s="116" t="s">
        <v>11</v>
      </c>
      <c r="C56" s="113" t="str">
        <f>Sheet1!F64</f>
        <v>Kế hoạch hỗ trợ thanh niên khởi nghiệp tỉnh Lâm Đồng năm 2026</v>
      </c>
      <c r="D56" s="101"/>
      <c r="E56" s="100">
        <v>46113</v>
      </c>
      <c r="F56" s="100">
        <v>46141</v>
      </c>
      <c r="G56" s="102"/>
      <c r="H56" s="98" t="s">
        <v>180</v>
      </c>
      <c r="I56" s="98" t="s">
        <v>27</v>
      </c>
    </row>
    <row r="57" spans="1:9" ht="25.5" x14ac:dyDescent="0.25">
      <c r="A57" s="117" t="s">
        <v>7</v>
      </c>
      <c r="B57" s="116" t="s">
        <v>11</v>
      </c>
      <c r="C57" s="113" t="str">
        <f>Sheet1!F65</f>
        <v>Dự thảo Kế hoạch tổ chức Hội trại tập huấn kỹ năng cán bộ Đoàn - Hội</v>
      </c>
      <c r="D57" s="101"/>
      <c r="E57" s="100">
        <v>46113</v>
      </c>
      <c r="F57" s="100">
        <v>46141</v>
      </c>
      <c r="G57" s="102"/>
      <c r="H57" s="98" t="s">
        <v>180</v>
      </c>
      <c r="I57" s="98" t="s">
        <v>27</v>
      </c>
    </row>
    <row r="58" spans="1:9" ht="38.25" x14ac:dyDescent="0.25">
      <c r="A58" s="117" t="s">
        <v>7</v>
      </c>
      <c r="B58" s="116" t="s">
        <v>11</v>
      </c>
      <c r="C58" s="113" t="str">
        <f>Sheet1!F66</f>
        <v>Hướng dẫn triển khai một số nội dung trọng tâm phong trào "Tuổi trẻ chung tay xây dựng nông thôn mới và chương trình bảo vệ môi trường ứng phó với biến đổi khi hậu</v>
      </c>
      <c r="D58" s="101"/>
      <c r="E58" s="100">
        <v>46113</v>
      </c>
      <c r="F58" s="100">
        <v>46140</v>
      </c>
      <c r="G58" s="102"/>
      <c r="H58" s="98" t="s">
        <v>177</v>
      </c>
      <c r="I58" s="98" t="s">
        <v>27</v>
      </c>
    </row>
    <row r="59" spans="1:9" ht="25.5" x14ac:dyDescent="0.25">
      <c r="A59" s="117" t="s">
        <v>7</v>
      </c>
      <c r="B59" s="116" t="s">
        <v>11</v>
      </c>
      <c r="C59" s="113" t="str">
        <f>Sheet1!F67</f>
        <v>Kế hoạch tổ chức ngày hội Thanh niên công nhân và tuyên dương Thanh niên công nhân tiêu biểu năm 2026</v>
      </c>
      <c r="D59" s="101"/>
      <c r="E59" s="100">
        <v>46113</v>
      </c>
      <c r="F59" s="100">
        <v>46127</v>
      </c>
      <c r="G59" s="102"/>
      <c r="H59" s="98" t="s">
        <v>20</v>
      </c>
      <c r="I59" s="98" t="s">
        <v>27</v>
      </c>
    </row>
    <row r="60" spans="1:9" x14ac:dyDescent="0.25">
      <c r="A60" s="117" t="s">
        <v>7</v>
      </c>
      <c r="B60" s="116" t="s">
        <v>11</v>
      </c>
      <c r="C60" s="113" t="str">
        <f>Sheet1!F68</f>
        <v>Kế hoạch tổ chức ngày Thầy thuốc trẻ làm theo lời Bác</v>
      </c>
      <c r="D60" s="101"/>
      <c r="E60" s="100">
        <v>46113</v>
      </c>
      <c r="F60" s="100">
        <v>46136</v>
      </c>
      <c r="G60" s="102"/>
      <c r="H60" s="98" t="s">
        <v>180</v>
      </c>
      <c r="I60" s="98" t="s">
        <v>27</v>
      </c>
    </row>
    <row r="61" spans="1:9" ht="25.5" x14ac:dyDescent="0.25">
      <c r="A61" s="117" t="s">
        <v>7</v>
      </c>
      <c r="B61" s="116" t="s">
        <v>11</v>
      </c>
      <c r="C61" s="113" t="str">
        <f>Sheet1!F69</f>
        <v>Công văn chủ động, đẩy mạnh triển khai phong trào thi đua Bình dân học vụ số trong đoàn viên thanh niên năm 2026</v>
      </c>
      <c r="D61" s="101"/>
      <c r="E61" s="100">
        <v>46113</v>
      </c>
      <c r="F61" s="100">
        <v>46115</v>
      </c>
      <c r="G61" s="102"/>
      <c r="H61" s="98" t="s">
        <v>177</v>
      </c>
      <c r="I61" s="98" t="s">
        <v>27</v>
      </c>
    </row>
    <row r="62" spans="1:9" ht="25.5" x14ac:dyDescent="0.25">
      <c r="A62" s="117" t="s">
        <v>7</v>
      </c>
      <c r="B62" s="116" t="s">
        <v>11</v>
      </c>
      <c r="C62" s="113" t="str">
        <f>Sheet1!F70</f>
        <v>Công văn triển khai cuộc thi khởi nghiệp thanh niên nông thôn của TWĐ</v>
      </c>
      <c r="D62" s="101"/>
      <c r="E62" s="100">
        <v>46113</v>
      </c>
      <c r="F62" s="100">
        <v>46119</v>
      </c>
      <c r="G62" s="102"/>
      <c r="H62" s="98" t="s">
        <v>177</v>
      </c>
      <c r="I62" s="98" t="s">
        <v>27</v>
      </c>
    </row>
    <row r="63" spans="1:9" x14ac:dyDescent="0.25">
      <c r="A63" s="117" t="s">
        <v>7</v>
      </c>
      <c r="B63" s="116" t="s">
        <v>11</v>
      </c>
      <c r="C63" s="113" t="str">
        <f>Sheet1!F71</f>
        <v>KH Tham mưu xóa 01 điểm đen ô nhiễm</v>
      </c>
      <c r="D63" s="101"/>
      <c r="E63" s="100">
        <v>46113</v>
      </c>
      <c r="F63" s="100">
        <v>46136</v>
      </c>
      <c r="G63" s="102"/>
      <c r="H63" s="98" t="s">
        <v>20</v>
      </c>
      <c r="I63" s="98" t="s">
        <v>27</v>
      </c>
    </row>
    <row r="64" spans="1:9" x14ac:dyDescent="0.25">
      <c r="A64" s="117" t="s">
        <v>7</v>
      </c>
      <c r="B64" s="116" t="s">
        <v>11</v>
      </c>
      <c r="C64" s="113" t="str">
        <f>Sheet1!F73</f>
        <v>Kiện toàn các nguồn quỹ của Đoàn</v>
      </c>
      <c r="D64" s="101"/>
      <c r="E64" s="100">
        <v>46113</v>
      </c>
      <c r="F64" s="100">
        <v>46142</v>
      </c>
      <c r="G64" s="102"/>
      <c r="H64" s="98" t="s">
        <v>180</v>
      </c>
      <c r="I64" s="98" t="s">
        <v>27</v>
      </c>
    </row>
    <row r="65" spans="1:9" x14ac:dyDescent="0.25">
      <c r="A65" s="117" t="s">
        <v>7</v>
      </c>
      <c r="B65" s="116" t="s">
        <v>11</v>
      </c>
      <c r="C65" s="113" t="str">
        <f>Sheet1!F74</f>
        <v>Hồ sơ khen thưởng Tháng thanh niên</v>
      </c>
      <c r="D65" s="101"/>
      <c r="E65" s="100">
        <v>46113</v>
      </c>
      <c r="F65" s="100">
        <v>46122</v>
      </c>
      <c r="G65" s="102"/>
      <c r="H65" s="98" t="s">
        <v>177</v>
      </c>
      <c r="I65" s="98" t="s">
        <v>27</v>
      </c>
    </row>
    <row r="66" spans="1:9" ht="25.5" x14ac:dyDescent="0.25">
      <c r="A66" s="117" t="s">
        <v>7</v>
      </c>
      <c r="B66" s="116" t="s">
        <v>11</v>
      </c>
      <c r="C66" s="113" t="str">
        <f>Sheet1!F75</f>
        <v>Phối hợp tổ chức chương trình “Gửi tiết kiệm chung tay vì người nghèo” năm 2026</v>
      </c>
      <c r="D66" s="101"/>
      <c r="E66" s="100">
        <v>46113</v>
      </c>
      <c r="F66" s="100">
        <v>46114</v>
      </c>
      <c r="G66" s="102"/>
      <c r="H66" s="98" t="s">
        <v>180</v>
      </c>
      <c r="I66" s="98" t="s">
        <v>27</v>
      </c>
    </row>
    <row r="67" spans="1:9" x14ac:dyDescent="0.25">
      <c r="A67" s="117" t="s">
        <v>7</v>
      </c>
      <c r="B67" s="116" t="s">
        <v>11</v>
      </c>
      <c r="C67" s="113" t="str">
        <f>Sheet1!F76</f>
        <v>Tổ chức tổng kết tháng thanh niên 2026</v>
      </c>
      <c r="D67" s="101"/>
      <c r="E67" s="100">
        <v>46113</v>
      </c>
      <c r="F67" s="100">
        <v>46129</v>
      </c>
      <c r="G67" s="102"/>
      <c r="H67" s="98" t="s">
        <v>177</v>
      </c>
      <c r="I67" s="98" t="s">
        <v>27</v>
      </c>
    </row>
    <row r="68" spans="1:9" ht="38.25" x14ac:dyDescent="0.25">
      <c r="A68" s="117" t="s">
        <v>7</v>
      </c>
      <c r="B68" s="116" t="s">
        <v>11</v>
      </c>
      <c r="C68" s="113" t="str">
        <f>Sheet1!F77</f>
        <v>Tham mưu các điều kiện hưởng phát động“Tết trồng cây đời đời nhớ ơn Bác Hồ” và trồng rừng tập trung, trồng cây phân tán năm 2026 do UBND tỉnh tổ chức</v>
      </c>
      <c r="D68" s="101"/>
      <c r="E68" s="100">
        <v>46113</v>
      </c>
      <c r="F68" s="100">
        <v>46141</v>
      </c>
      <c r="G68" s="102"/>
      <c r="H68" s="98" t="s">
        <v>177</v>
      </c>
      <c r="I68" s="98" t="s">
        <v>27</v>
      </c>
    </row>
    <row r="69" spans="1:9" ht="25.5" x14ac:dyDescent="0.25">
      <c r="A69" s="117" t="s">
        <v>7</v>
      </c>
      <c r="B69" s="119" t="s">
        <v>12</v>
      </c>
      <c r="C69" s="113" t="str">
        <f>Sheet1!F78</f>
        <v>Văn bản phối hợp với Hội Doanh nhân trẻ tỉnh về việc phối hợp hỗ trợ tổ chức Diễn đàn Kinh tế tư nhân Việt Nam (VPSF) 2026</v>
      </c>
      <c r="D69" s="101"/>
      <c r="E69" s="100">
        <v>46113</v>
      </c>
      <c r="F69" s="100">
        <v>46132</v>
      </c>
      <c r="G69" s="102"/>
      <c r="H69" s="98" t="s">
        <v>20</v>
      </c>
      <c r="I69" s="98" t="s">
        <v>27</v>
      </c>
    </row>
    <row r="70" spans="1:9" ht="38.25" x14ac:dyDescent="0.25">
      <c r="A70" s="117" t="s">
        <v>7</v>
      </c>
      <c r="B70" s="119" t="s">
        <v>12</v>
      </c>
      <c r="C70" s="113" t="str">
        <f>Sheet1!F79</f>
        <v>Các văn bản chuẩn bị Đại hội Hội LHTN VN tỉnh: Quyết định thành lập các tiểu Ban phục vụ Đại hội; các Đề án Đại hội; Chương trình, Kịch bản ĐH; Báo cáo chính trị Đại hội; Nghị quyết ĐH,...</v>
      </c>
      <c r="D70" s="101"/>
      <c r="E70" s="100">
        <v>46113</v>
      </c>
      <c r="F70" s="100">
        <v>46141</v>
      </c>
      <c r="G70" s="102"/>
      <c r="H70" s="98" t="s">
        <v>20</v>
      </c>
      <c r="I70" s="98" t="s">
        <v>27</v>
      </c>
    </row>
    <row r="71" spans="1:9" ht="25.5" x14ac:dyDescent="0.25">
      <c r="A71" s="117" t="s">
        <v>7</v>
      </c>
      <c r="B71" s="119" t="s">
        <v>12</v>
      </c>
      <c r="C71" s="113" t="str">
        <f>Sheet1!F80</f>
        <v>Rà soát đôn đốc hoàn thành việc thành lập Hội LHTN Việt Nam các xã phường đặc khu</v>
      </c>
      <c r="D71" s="101"/>
      <c r="E71" s="100">
        <v>46113</v>
      </c>
      <c r="F71" s="100">
        <v>46142</v>
      </c>
      <c r="G71" s="102"/>
      <c r="H71" s="98" t="s">
        <v>20</v>
      </c>
      <c r="I71" s="98" t="s">
        <v>27</v>
      </c>
    </row>
    <row r="72" spans="1:9" x14ac:dyDescent="0.25">
      <c r="A72" s="117" t="s">
        <v>7</v>
      </c>
      <c r="B72" s="119" t="s">
        <v>12</v>
      </c>
      <c r="C72" s="113" t="str">
        <f>Sheet1!F81</f>
        <v>Tham mưu các điều kiện chuẩn bị tổ chức ĐH Hội lần I</v>
      </c>
      <c r="D72" s="101"/>
      <c r="E72" s="100">
        <v>46113</v>
      </c>
      <c r="F72" s="100">
        <v>46142</v>
      </c>
      <c r="G72" s="102"/>
      <c r="H72" s="98" t="s">
        <v>20</v>
      </c>
      <c r="I72" s="98" t="s">
        <v>27</v>
      </c>
    </row>
    <row r="73" spans="1:9" x14ac:dyDescent="0.25">
      <c r="A73" s="117" t="s">
        <v>7</v>
      </c>
      <c r="B73" s="119" t="s">
        <v>12</v>
      </c>
      <c r="C73" s="113" t="str">
        <f>Sheet1!F82</f>
        <v>Tham mưu phân công dự chỉ đạo Đại hội Hội LHTN Việt Nam cơ sở</v>
      </c>
      <c r="D73" s="101"/>
      <c r="E73" s="100">
        <v>46113</v>
      </c>
      <c r="F73" s="100">
        <v>46122</v>
      </c>
      <c r="G73" s="102"/>
      <c r="H73" s="98" t="s">
        <v>180</v>
      </c>
      <c r="I73" s="98" t="s">
        <v>27</v>
      </c>
    </row>
    <row r="74" spans="1:9" x14ac:dyDescent="0.25">
      <c r="A74" s="117" t="s">
        <v>7</v>
      </c>
      <c r="B74" s="119" t="s">
        <v>12</v>
      </c>
      <c r="C74" s="113" t="str">
        <f>Sheet1!F83</f>
        <v>Phối hợp rà soát thành lập Hội doanh nhân trẻ tỉnh Lâm Đồng</v>
      </c>
      <c r="D74" s="101"/>
      <c r="E74" s="100">
        <v>46113</v>
      </c>
      <c r="F74" s="100">
        <v>46142</v>
      </c>
      <c r="G74" s="102"/>
      <c r="H74" s="98" t="s">
        <v>20</v>
      </c>
      <c r="I74" s="98" t="s">
        <v>27</v>
      </c>
    </row>
    <row r="75" spans="1:9" x14ac:dyDescent="0.25">
      <c r="A75" s="118" t="s">
        <v>9</v>
      </c>
      <c r="B75" s="120" t="s">
        <v>13</v>
      </c>
      <c r="C75" s="113" t="str">
        <f>Sheet1!F85</f>
        <v>Đề cương tuyên truyền 85 năm thành lập Đội</v>
      </c>
      <c r="D75" s="101"/>
      <c r="E75" s="100">
        <v>46113</v>
      </c>
      <c r="F75" s="100">
        <v>46122</v>
      </c>
      <c r="G75" s="102"/>
      <c r="H75" s="98" t="s">
        <v>179</v>
      </c>
      <c r="I75" s="98" t="s">
        <v>17</v>
      </c>
    </row>
    <row r="76" spans="1:9" x14ac:dyDescent="0.25">
      <c r="A76" s="118" t="s">
        <v>9</v>
      </c>
      <c r="B76" s="120" t="s">
        <v>13</v>
      </c>
      <c r="C76" s="113" t="str">
        <f>Sheet1!F86</f>
        <v>Tờ tình TW về đề xuất xét trao tặng Cánh én hồng</v>
      </c>
      <c r="D76" s="101"/>
      <c r="E76" s="100">
        <v>46113</v>
      </c>
      <c r="F76" s="100">
        <v>46122</v>
      </c>
      <c r="G76" s="102"/>
      <c r="H76" s="98" t="s">
        <v>179</v>
      </c>
      <c r="I76" s="98" t="s">
        <v>17</v>
      </c>
    </row>
    <row r="77" spans="1:9" ht="38.25" x14ac:dyDescent="0.25">
      <c r="A77" s="118" t="s">
        <v>9</v>
      </c>
      <c r="B77" s="120" t="s">
        <v>13</v>
      </c>
      <c r="C77" s="113" t="str">
        <f>Sheet1!F87</f>
        <v>Ban hành KH tổ chức tập huấn cho cán bộ Hội đồng Đội về công tác bảo vệ, chăm sóc, giá dục thiếu niên nhi đồng sau khi thực hiện chính quyền địa phương 2 cấp</v>
      </c>
      <c r="D77" s="101"/>
      <c r="E77" s="100">
        <v>46113</v>
      </c>
      <c r="F77" s="100">
        <v>46142</v>
      </c>
      <c r="G77" s="102"/>
      <c r="H77" s="98" t="s">
        <v>179</v>
      </c>
      <c r="I77" s="98" t="s">
        <v>17</v>
      </c>
    </row>
    <row r="78" spans="1:9" ht="25.5" x14ac:dyDescent="0.25">
      <c r="A78" s="118" t="s">
        <v>9</v>
      </c>
      <c r="B78" s="120" t="s">
        <v>13</v>
      </c>
      <c r="C78" s="113" t="str">
        <f>Sheet1!F88</f>
        <v>Tham mưu các vb triển khai đăng cai  Festival Thiếu nhi toàn quốc lần thứ nhất - năm 2026</v>
      </c>
      <c r="D78" s="101"/>
      <c r="E78" s="100">
        <v>46113</v>
      </c>
      <c r="F78" s="100">
        <v>46127</v>
      </c>
      <c r="G78" s="102"/>
      <c r="H78" s="98" t="s">
        <v>179</v>
      </c>
      <c r="I78" s="98" t="s">
        <v>17</v>
      </c>
    </row>
    <row r="79" spans="1:9" x14ac:dyDescent="0.25">
      <c r="A79" s="118" t="s">
        <v>9</v>
      </c>
      <c r="B79" s="120" t="s">
        <v>13</v>
      </c>
      <c r="C79" s="113" t="str">
        <f>Sheet1!F89</f>
        <v>Tham mưu các vb triển khai đăng cai Hội Thi Tin học trẻ toàn quốc</v>
      </c>
      <c r="D79" s="101"/>
      <c r="E79" s="100">
        <v>46113</v>
      </c>
      <c r="F79" s="100">
        <v>46127</v>
      </c>
      <c r="G79" s="102"/>
      <c r="H79" s="98" t="s">
        <v>175</v>
      </c>
      <c r="I79" s="98" t="s">
        <v>17</v>
      </c>
    </row>
    <row r="80" spans="1:9" ht="25.5" x14ac:dyDescent="0.25">
      <c r="A80" s="118" t="s">
        <v>9</v>
      </c>
      <c r="B80" s="120" t="s">
        <v>13</v>
      </c>
      <c r="C80" s="113" t="str">
        <f>Sheet1!F90</f>
        <v>Văn bản triển khai tuyên truyền tăng cường phòng chống, ngăn chặn bạo lực học đường</v>
      </c>
      <c r="D80" s="101"/>
      <c r="E80" s="100">
        <v>46113</v>
      </c>
      <c r="F80" s="100">
        <v>46127</v>
      </c>
      <c r="G80" s="102"/>
      <c r="H80" s="98" t="s">
        <v>175</v>
      </c>
      <c r="I80" s="98" t="s">
        <v>17</v>
      </c>
    </row>
    <row r="81" spans="1:9" x14ac:dyDescent="0.25">
      <c r="A81" s="118" t="s">
        <v>9</v>
      </c>
      <c r="B81" s="120" t="s">
        <v>13</v>
      </c>
      <c r="C81" s="113" t="str">
        <f>Sheet1!F91</f>
        <v>Triển khai chương trình Hoa cúc trắng tháng 4</v>
      </c>
      <c r="D81" s="101"/>
      <c r="E81" s="100">
        <v>46113</v>
      </c>
      <c r="F81" s="100">
        <v>46132</v>
      </c>
      <c r="G81" s="102"/>
      <c r="H81" s="98" t="s">
        <v>173</v>
      </c>
      <c r="I81" s="98" t="s">
        <v>17</v>
      </c>
    </row>
    <row r="82" spans="1:9" x14ac:dyDescent="0.25">
      <c r="A82" s="118" t="s">
        <v>9</v>
      </c>
      <c r="B82" s="120" t="s">
        <v>13</v>
      </c>
      <c r="C82" s="113" t="str">
        <f>Sheet1!F92</f>
        <v>Triển khai hướng nghiệp cho đội viên lớn</v>
      </c>
      <c r="D82" s="101"/>
      <c r="E82" s="100">
        <v>46113</v>
      </c>
      <c r="F82" s="100">
        <v>46116</v>
      </c>
      <c r="G82" s="102"/>
      <c r="H82" s="98" t="s">
        <v>173</v>
      </c>
      <c r="I82" s="98" t="s">
        <v>17</v>
      </c>
    </row>
    <row r="83" spans="1:9" ht="25.5" x14ac:dyDescent="0.25">
      <c r="A83" s="118" t="s">
        <v>9</v>
      </c>
      <c r="B83" s="120" t="s">
        <v>13</v>
      </c>
      <c r="C83" s="113" t="str">
        <f>Sheet1!F93</f>
        <v>Triển khai hội thi olympic tiếng anh trong cán bộ Đoàn, đoàn viên thanh niên</v>
      </c>
      <c r="D83" s="101"/>
      <c r="E83" s="100">
        <v>46113</v>
      </c>
      <c r="F83" s="100">
        <v>46127</v>
      </c>
      <c r="G83" s="102"/>
      <c r="H83" s="98" t="s">
        <v>173</v>
      </c>
      <c r="I83" s="98" t="s">
        <v>17</v>
      </c>
    </row>
    <row r="84" spans="1:9" ht="25.5" x14ac:dyDescent="0.25">
      <c r="A84" s="118" t="s">
        <v>9</v>
      </c>
      <c r="B84" s="120" t="s">
        <v>13</v>
      </c>
      <c r="C84" s="113" t="str">
        <f>Sheet1!F94</f>
        <v>Kế hoạch triển khai các hoạt động phong trào Xây dựng tình bạn đẹp nói không với bạo lực học đường</v>
      </c>
      <c r="D84" s="101"/>
      <c r="E84" s="100">
        <v>46113</v>
      </c>
      <c r="F84" s="100">
        <v>46127</v>
      </c>
      <c r="G84" s="102"/>
      <c r="H84" s="98" t="s">
        <v>173</v>
      </c>
      <c r="I84" s="98" t="s">
        <v>17</v>
      </c>
    </row>
    <row r="85" spans="1:9" ht="25.5" x14ac:dyDescent="0.25">
      <c r="A85" s="118" t="s">
        <v>9</v>
      </c>
      <c r="B85" s="120" t="s">
        <v>13</v>
      </c>
      <c r="C85" s="113" t="str">
        <f>Sheet1!F95</f>
        <v>Tham mưu các điều kiện chuẩn bị tổ chức Hội thi Tin học trẻ tỉnh Lâm Đồng năm 2026</v>
      </c>
      <c r="D85" s="101"/>
      <c r="E85" s="100">
        <v>46113</v>
      </c>
      <c r="F85" s="100">
        <v>46142</v>
      </c>
      <c r="G85" s="102"/>
      <c r="H85" s="98" t="s">
        <v>175</v>
      </c>
      <c r="I85" s="98" t="s">
        <v>17</v>
      </c>
    </row>
    <row r="86" spans="1:9" x14ac:dyDescent="0.25">
      <c r="A86" s="118" t="s">
        <v>9</v>
      </c>
      <c r="B86" s="120" t="s">
        <v>13</v>
      </c>
      <c r="C86" s="113" t="str">
        <f>Sheet1!F96</f>
        <v xml:space="preserve">Triển khai cuộc thi Robotic cấp tỉnh </v>
      </c>
      <c r="D86" s="101"/>
      <c r="E86" s="100">
        <v>46113</v>
      </c>
      <c r="F86" s="100">
        <v>46142</v>
      </c>
      <c r="G86" s="102"/>
      <c r="H86" s="98" t="s">
        <v>175</v>
      </c>
      <c r="I86" s="98" t="s">
        <v>17</v>
      </c>
    </row>
    <row r="87" spans="1:9" ht="25.5" x14ac:dyDescent="0.25">
      <c r="A87" s="118" t="s">
        <v>9</v>
      </c>
      <c r="B87" s="98" t="s">
        <v>14</v>
      </c>
      <c r="C87" s="113" t="str">
        <f>Sheet1!F97</f>
        <v>Tham mưu các nội dung quy trình thành lập Hội Sinh viên Việt Nam tỉnh</v>
      </c>
      <c r="D87" s="101"/>
      <c r="E87" s="100">
        <v>46113</v>
      </c>
      <c r="F87" s="100">
        <v>46142</v>
      </c>
      <c r="G87" s="102"/>
      <c r="H87" s="98" t="s">
        <v>175</v>
      </c>
      <c r="I87" s="98" t="s">
        <v>16</v>
      </c>
    </row>
    <row r="88" spans="1:9" x14ac:dyDescent="0.25">
      <c r="A88" s="118" t="s">
        <v>9</v>
      </c>
      <c r="B88" s="98" t="s">
        <v>14</v>
      </c>
      <c r="C88" s="113" t="str">
        <f>Sheet1!F98</f>
        <v>Đề án tổ chức Đại hội Hội</v>
      </c>
      <c r="D88" s="101"/>
      <c r="E88" s="100">
        <v>46113</v>
      </c>
      <c r="F88" s="100">
        <v>46142</v>
      </c>
      <c r="G88" s="102"/>
      <c r="H88" s="98" t="s">
        <v>175</v>
      </c>
      <c r="I88" s="98" t="s">
        <v>16</v>
      </c>
    </row>
  </sheetData>
  <pageMargins left="0.75" right="0.75" top="1" bottom="1" header="0.5" footer="0.5"/>
  <pageSetup paperSize="9" orientation="portrait" verticalDpi="0" r:id="rId1"/>
  <extLst>
    <ext xmlns:x14="http://schemas.microsoft.com/office/spreadsheetml/2009/9/main" uri="{CCE6A557-97BC-4b89-ADB6-D9C93CAAB3DF}">
      <x14:dataValidations xmlns:xm="http://schemas.microsoft.com/office/excel/2006/main" count="4">
        <x14:dataValidation type="list">
          <x14:formula1>
            <xm:f>DanhMuc!$C$1:$C$3</xm:f>
          </x14:formula1>
          <xm:sqref>H89:I251</xm:sqref>
        </x14:dataValidation>
        <x14:dataValidation type="list">
          <x14:formula1>
            <xm:f>DanhMuc!$C$1:$C$30</xm:f>
          </x14:formula1>
          <xm:sqref>H2:I88</xm:sqref>
        </x14:dataValidation>
        <x14:dataValidation type="list">
          <x14:formula1>
            <xm:f>DanhMuc!$A$1:$A$3</xm:f>
          </x14:formula1>
          <xm:sqref>A2:A251</xm:sqref>
        </x14:dataValidation>
        <x14:dataValidation type="list">
          <x14:formula1>
            <xm:f>DanhMuc!$B$1:$B$7</xm:f>
          </x14:formula1>
          <xm:sqref>B2:B251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98"/>
  <sheetViews>
    <sheetView topLeftCell="A37" workbookViewId="0">
      <selection activeCell="L24" sqref="L24"/>
    </sheetView>
  </sheetViews>
  <sheetFormatPr defaultRowHeight="15" x14ac:dyDescent="0.25"/>
  <cols>
    <col min="1" max="1" width="3.42578125" customWidth="1"/>
    <col min="6" max="6" width="36.5703125" customWidth="1"/>
    <col min="8" max="8" width="23.140625" customWidth="1"/>
    <col min="9" max="9" width="19.7109375" style="130" customWidth="1"/>
  </cols>
  <sheetData>
    <row r="3" spans="2:10" ht="31.5" x14ac:dyDescent="0.25">
      <c r="B3" s="3" t="s">
        <v>29</v>
      </c>
      <c r="C3" s="4"/>
      <c r="D3" s="5" t="s">
        <v>30</v>
      </c>
      <c r="E3" s="6"/>
      <c r="F3" s="7" t="s">
        <v>31</v>
      </c>
      <c r="G3" s="7" t="s">
        <v>32</v>
      </c>
      <c r="H3" s="7" t="s">
        <v>33</v>
      </c>
      <c r="I3" s="121" t="s">
        <v>34</v>
      </c>
    </row>
    <row r="4" spans="2:10" ht="15.75" x14ac:dyDescent="0.25">
      <c r="B4" s="8" t="s">
        <v>5</v>
      </c>
      <c r="C4" s="9"/>
      <c r="D4" s="9"/>
      <c r="E4" s="9"/>
      <c r="F4" s="9"/>
      <c r="G4" s="9"/>
      <c r="H4" s="9"/>
      <c r="I4" s="10"/>
    </row>
    <row r="5" spans="2:10" ht="31.5" x14ac:dyDescent="0.25">
      <c r="B5" s="11">
        <v>1</v>
      </c>
      <c r="C5" s="12" t="s">
        <v>6</v>
      </c>
      <c r="D5" s="13" t="s">
        <v>35</v>
      </c>
      <c r="E5" s="14">
        <v>1</v>
      </c>
      <c r="F5" s="15" t="s">
        <v>181</v>
      </c>
      <c r="G5" s="16" t="s">
        <v>36</v>
      </c>
      <c r="H5" s="17" t="s">
        <v>37</v>
      </c>
      <c r="I5" s="122">
        <v>46299</v>
      </c>
      <c r="J5">
        <v>1</v>
      </c>
    </row>
    <row r="6" spans="2:10" ht="15.75" x14ac:dyDescent="0.25">
      <c r="B6" s="11"/>
      <c r="C6" s="12"/>
      <c r="D6" s="13"/>
      <c r="E6" s="14">
        <v>2</v>
      </c>
      <c r="F6" s="18" t="s">
        <v>38</v>
      </c>
      <c r="G6" s="19"/>
      <c r="H6" s="17" t="s">
        <v>39</v>
      </c>
      <c r="I6" s="123">
        <v>46127</v>
      </c>
      <c r="J6">
        <v>2</v>
      </c>
    </row>
    <row r="7" spans="2:10" ht="31.5" x14ac:dyDescent="0.25">
      <c r="B7" s="11"/>
      <c r="C7" s="12"/>
      <c r="D7" s="13"/>
      <c r="E7" s="14">
        <v>3</v>
      </c>
      <c r="F7" s="15" t="s">
        <v>40</v>
      </c>
      <c r="G7" s="19"/>
      <c r="H7" s="17" t="s">
        <v>37</v>
      </c>
      <c r="I7" s="122">
        <v>46122</v>
      </c>
      <c r="J7">
        <v>3</v>
      </c>
    </row>
    <row r="8" spans="2:10" ht="31.5" x14ac:dyDescent="0.25">
      <c r="B8" s="11"/>
      <c r="C8" s="12"/>
      <c r="D8" s="13"/>
      <c r="E8" s="14">
        <v>4</v>
      </c>
      <c r="F8" s="15" t="s">
        <v>41</v>
      </c>
      <c r="G8" s="19"/>
      <c r="H8" s="17" t="s">
        <v>42</v>
      </c>
      <c r="I8" s="122">
        <v>46122</v>
      </c>
      <c r="J8">
        <v>4</v>
      </c>
    </row>
    <row r="9" spans="2:10" ht="31.5" x14ac:dyDescent="0.25">
      <c r="B9" s="11"/>
      <c r="C9" s="12"/>
      <c r="D9" s="13"/>
      <c r="E9" s="14">
        <v>5</v>
      </c>
      <c r="F9" s="15" t="s">
        <v>43</v>
      </c>
      <c r="G9" s="19"/>
      <c r="H9" s="17" t="s">
        <v>44</v>
      </c>
      <c r="I9" s="122" t="s">
        <v>45</v>
      </c>
      <c r="J9">
        <v>5</v>
      </c>
    </row>
    <row r="10" spans="2:10" ht="15.75" x14ac:dyDescent="0.25">
      <c r="B10" s="11"/>
      <c r="C10" s="12"/>
      <c r="D10" s="13"/>
      <c r="E10" s="14">
        <v>6</v>
      </c>
      <c r="F10" s="15" t="s">
        <v>46</v>
      </c>
      <c r="G10" s="19"/>
      <c r="H10" s="17" t="s">
        <v>47</v>
      </c>
      <c r="I10" s="122" t="s">
        <v>48</v>
      </c>
      <c r="J10">
        <v>6</v>
      </c>
    </row>
    <row r="11" spans="2:10" ht="31.5" x14ac:dyDescent="0.25">
      <c r="B11" s="11"/>
      <c r="C11" s="12"/>
      <c r="D11" s="13"/>
      <c r="E11" s="14">
        <v>7</v>
      </c>
      <c r="F11" s="15" t="s">
        <v>49</v>
      </c>
      <c r="G11" s="19"/>
      <c r="H11" s="17" t="s">
        <v>47</v>
      </c>
      <c r="I11" s="122">
        <v>46127</v>
      </c>
      <c r="J11">
        <v>7</v>
      </c>
    </row>
    <row r="12" spans="2:10" ht="31.5" x14ac:dyDescent="0.25">
      <c r="B12" s="11"/>
      <c r="C12" s="12"/>
      <c r="D12" s="13"/>
      <c r="E12" s="14">
        <v>9</v>
      </c>
      <c r="F12" s="21" t="s">
        <v>50</v>
      </c>
      <c r="G12" s="22"/>
      <c r="H12" s="17" t="s">
        <v>42</v>
      </c>
      <c r="I12" s="122" t="s">
        <v>51</v>
      </c>
      <c r="J12">
        <v>9</v>
      </c>
    </row>
    <row r="13" spans="2:10" ht="47.25" x14ac:dyDescent="0.25">
      <c r="B13" s="11"/>
      <c r="C13" s="12"/>
      <c r="D13" s="2"/>
      <c r="E13" s="14">
        <v>10</v>
      </c>
      <c r="F13" s="21" t="s">
        <v>52</v>
      </c>
      <c r="G13" s="23"/>
      <c r="H13" s="17" t="s">
        <v>53</v>
      </c>
      <c r="I13" s="122">
        <v>46120</v>
      </c>
      <c r="J13">
        <v>10</v>
      </c>
    </row>
    <row r="14" spans="2:10" ht="31.5" x14ac:dyDescent="0.25">
      <c r="B14" s="11"/>
      <c r="C14" s="12"/>
      <c r="D14" s="13" t="s">
        <v>2</v>
      </c>
      <c r="E14" s="24">
        <v>1</v>
      </c>
      <c r="F14" s="20" t="s">
        <v>54</v>
      </c>
      <c r="G14" s="25" t="s">
        <v>36</v>
      </c>
      <c r="H14" s="17" t="s">
        <v>42</v>
      </c>
      <c r="I14" s="122">
        <v>46132</v>
      </c>
      <c r="J14">
        <v>11</v>
      </c>
    </row>
    <row r="15" spans="2:10" ht="31.5" x14ac:dyDescent="0.25">
      <c r="B15" s="11"/>
      <c r="C15" s="12"/>
      <c r="D15" s="13"/>
      <c r="E15" s="24">
        <v>2</v>
      </c>
      <c r="F15" s="15" t="s">
        <v>55</v>
      </c>
      <c r="G15" s="26"/>
      <c r="H15" s="17" t="s">
        <v>53</v>
      </c>
      <c r="I15" s="122">
        <v>46132</v>
      </c>
      <c r="J15">
        <v>12</v>
      </c>
    </row>
    <row r="16" spans="2:10" ht="47.25" x14ac:dyDescent="0.25">
      <c r="B16" s="11"/>
      <c r="C16" s="12"/>
      <c r="D16" s="13"/>
      <c r="E16" s="24">
        <v>3</v>
      </c>
      <c r="F16" s="20" t="s">
        <v>56</v>
      </c>
      <c r="G16" s="26"/>
      <c r="H16" s="17" t="s">
        <v>53</v>
      </c>
      <c r="I16" s="122">
        <v>46299</v>
      </c>
      <c r="J16">
        <v>13</v>
      </c>
    </row>
    <row r="17" spans="2:10" ht="47.25" x14ac:dyDescent="0.25">
      <c r="B17" s="11"/>
      <c r="C17" s="12"/>
      <c r="D17" s="13"/>
      <c r="E17" s="24">
        <v>4</v>
      </c>
      <c r="F17" s="20" t="s">
        <v>57</v>
      </c>
      <c r="G17" s="26"/>
      <c r="H17" s="17" t="s">
        <v>53</v>
      </c>
      <c r="I17" s="122">
        <v>46299</v>
      </c>
      <c r="J17">
        <v>14</v>
      </c>
    </row>
    <row r="18" spans="2:10" ht="63" x14ac:dyDescent="0.25">
      <c r="B18" s="11"/>
      <c r="C18" s="12"/>
      <c r="D18" s="13"/>
      <c r="E18" s="24">
        <v>5</v>
      </c>
      <c r="F18" s="20" t="s">
        <v>58</v>
      </c>
      <c r="G18" s="26"/>
      <c r="H18" s="17" t="s">
        <v>37</v>
      </c>
      <c r="I18" s="122" t="s">
        <v>59</v>
      </c>
      <c r="J18">
        <v>15</v>
      </c>
    </row>
    <row r="19" spans="2:10" ht="31.5" x14ac:dyDescent="0.25">
      <c r="B19" s="11"/>
      <c r="C19" s="12"/>
      <c r="D19" s="13"/>
      <c r="E19" s="24">
        <v>6</v>
      </c>
      <c r="F19" s="20" t="s">
        <v>60</v>
      </c>
      <c r="G19" s="26"/>
      <c r="H19" s="17" t="s">
        <v>53</v>
      </c>
      <c r="I19" s="122" t="s">
        <v>59</v>
      </c>
      <c r="J19">
        <v>16</v>
      </c>
    </row>
    <row r="20" spans="2:10" ht="31.5" x14ac:dyDescent="0.25">
      <c r="B20" s="11"/>
      <c r="C20" s="12"/>
      <c r="D20" s="13"/>
      <c r="E20" s="24">
        <v>7</v>
      </c>
      <c r="F20" s="15" t="s">
        <v>61</v>
      </c>
      <c r="G20" s="27"/>
      <c r="H20" s="17" t="s">
        <v>37</v>
      </c>
      <c r="I20" s="122" t="s">
        <v>59</v>
      </c>
      <c r="J20">
        <v>17</v>
      </c>
    </row>
    <row r="21" spans="2:10" ht="31.5" x14ac:dyDescent="0.25">
      <c r="B21" s="11">
        <v>2</v>
      </c>
      <c r="C21" s="28" t="s">
        <v>8</v>
      </c>
      <c r="D21" s="29" t="s">
        <v>35</v>
      </c>
      <c r="E21" s="30">
        <v>1</v>
      </c>
      <c r="F21" s="31" t="s">
        <v>78</v>
      </c>
      <c r="G21" s="32" t="s">
        <v>36</v>
      </c>
      <c r="H21" s="33" t="s">
        <v>182</v>
      </c>
      <c r="I21" s="124">
        <v>46132</v>
      </c>
      <c r="J21">
        <v>18</v>
      </c>
    </row>
    <row r="22" spans="2:10" ht="31.5" x14ac:dyDescent="0.25">
      <c r="B22" s="11"/>
      <c r="C22" s="28"/>
      <c r="D22" s="34"/>
      <c r="E22" s="30">
        <v>3</v>
      </c>
      <c r="F22" s="31" t="s">
        <v>65</v>
      </c>
      <c r="G22" s="32" t="s">
        <v>36</v>
      </c>
      <c r="H22" s="33" t="s">
        <v>62</v>
      </c>
      <c r="I22" s="124" t="s">
        <v>66</v>
      </c>
      <c r="J22">
        <v>20</v>
      </c>
    </row>
    <row r="23" spans="2:10" ht="31.5" x14ac:dyDescent="0.25">
      <c r="B23" s="11"/>
      <c r="C23" s="28"/>
      <c r="D23" s="34"/>
      <c r="E23" s="30">
        <v>4</v>
      </c>
      <c r="F23" s="31" t="s">
        <v>67</v>
      </c>
      <c r="G23" s="32" t="s">
        <v>68</v>
      </c>
      <c r="H23" s="33" t="s">
        <v>62</v>
      </c>
      <c r="I23" s="124" t="s">
        <v>66</v>
      </c>
      <c r="J23">
        <v>21</v>
      </c>
    </row>
    <row r="24" spans="2:10" ht="31.5" x14ac:dyDescent="0.25">
      <c r="B24" s="11"/>
      <c r="C24" s="28"/>
      <c r="D24" s="34"/>
      <c r="E24" s="30">
        <v>5</v>
      </c>
      <c r="F24" s="31" t="s">
        <v>69</v>
      </c>
      <c r="G24" s="32" t="s">
        <v>36</v>
      </c>
      <c r="H24" s="33" t="s">
        <v>62</v>
      </c>
      <c r="I24" s="124" t="s">
        <v>66</v>
      </c>
      <c r="J24">
        <v>22</v>
      </c>
    </row>
    <row r="25" spans="2:10" ht="31.5" x14ac:dyDescent="0.25">
      <c r="B25" s="11"/>
      <c r="C25" s="28"/>
      <c r="D25" s="34"/>
      <c r="E25" s="30">
        <v>6</v>
      </c>
      <c r="F25" s="18" t="s">
        <v>70</v>
      </c>
      <c r="G25" s="35" t="s">
        <v>36</v>
      </c>
      <c r="H25" s="36" t="s">
        <v>64</v>
      </c>
      <c r="I25" s="124" t="s">
        <v>71</v>
      </c>
      <c r="J25">
        <v>23</v>
      </c>
    </row>
    <row r="26" spans="2:10" ht="47.25" x14ac:dyDescent="0.25">
      <c r="B26" s="11"/>
      <c r="C26" s="28"/>
      <c r="D26" s="34"/>
      <c r="E26" s="30">
        <v>7</v>
      </c>
      <c r="F26" s="31" t="s">
        <v>72</v>
      </c>
      <c r="G26" s="35" t="s">
        <v>36</v>
      </c>
      <c r="H26" s="36" t="s">
        <v>73</v>
      </c>
      <c r="I26" s="124">
        <v>46122</v>
      </c>
      <c r="J26">
        <v>24</v>
      </c>
    </row>
    <row r="27" spans="2:10" ht="47.25" x14ac:dyDescent="0.25">
      <c r="B27" s="11"/>
      <c r="C27" s="28"/>
      <c r="D27" s="34"/>
      <c r="E27" s="30">
        <v>8</v>
      </c>
      <c r="F27" s="31" t="s">
        <v>74</v>
      </c>
      <c r="G27" s="35" t="s">
        <v>36</v>
      </c>
      <c r="H27" s="36" t="s">
        <v>73</v>
      </c>
      <c r="I27" s="124">
        <v>46122</v>
      </c>
      <c r="J27">
        <v>25</v>
      </c>
    </row>
    <row r="28" spans="2:10" ht="31.5" x14ac:dyDescent="0.25">
      <c r="B28" s="11"/>
      <c r="C28" s="28"/>
      <c r="D28" s="34"/>
      <c r="E28" s="30">
        <v>9</v>
      </c>
      <c r="F28" s="31" t="s">
        <v>75</v>
      </c>
      <c r="G28" s="35" t="s">
        <v>36</v>
      </c>
      <c r="H28" s="33" t="s">
        <v>62</v>
      </c>
      <c r="I28" s="124" t="s">
        <v>76</v>
      </c>
      <c r="J28">
        <v>26</v>
      </c>
    </row>
    <row r="29" spans="2:10" ht="31.5" x14ac:dyDescent="0.25">
      <c r="B29" s="11"/>
      <c r="C29" s="28"/>
      <c r="D29" s="34"/>
      <c r="E29" s="30">
        <v>10</v>
      </c>
      <c r="F29" s="31" t="s">
        <v>77</v>
      </c>
      <c r="G29" s="35" t="s">
        <v>36</v>
      </c>
      <c r="H29" s="33" t="s">
        <v>62</v>
      </c>
      <c r="I29" s="124" t="s">
        <v>76</v>
      </c>
      <c r="J29">
        <v>27</v>
      </c>
    </row>
    <row r="30" spans="2:10" ht="31.5" x14ac:dyDescent="0.25">
      <c r="B30" s="11"/>
      <c r="C30" s="28"/>
      <c r="D30" s="34"/>
      <c r="E30" s="30">
        <v>11</v>
      </c>
      <c r="F30" s="31" t="s">
        <v>63</v>
      </c>
      <c r="G30" s="35" t="s">
        <v>36</v>
      </c>
      <c r="H30" s="36" t="s">
        <v>64</v>
      </c>
      <c r="I30" s="124" t="s">
        <v>76</v>
      </c>
      <c r="J30">
        <v>28</v>
      </c>
    </row>
    <row r="31" spans="2:10" ht="63" x14ac:dyDescent="0.25">
      <c r="B31" s="11"/>
      <c r="C31" s="28"/>
      <c r="D31" s="34"/>
      <c r="E31" s="30">
        <v>12</v>
      </c>
      <c r="F31" s="31" t="s">
        <v>79</v>
      </c>
      <c r="G31" s="37" t="s">
        <v>36</v>
      </c>
      <c r="H31" s="38" t="s">
        <v>53</v>
      </c>
      <c r="I31" s="124" t="s">
        <v>164</v>
      </c>
      <c r="J31">
        <v>29</v>
      </c>
    </row>
    <row r="32" spans="2:10" ht="47.25" x14ac:dyDescent="0.25">
      <c r="B32" s="11"/>
      <c r="C32" s="28"/>
      <c r="D32" s="34"/>
      <c r="E32" s="30">
        <v>13</v>
      </c>
      <c r="F32" s="39" t="s">
        <v>80</v>
      </c>
      <c r="G32" s="37" t="s">
        <v>36</v>
      </c>
      <c r="H32" s="38" t="s">
        <v>53</v>
      </c>
      <c r="I32" s="124" t="s">
        <v>164</v>
      </c>
      <c r="J32">
        <v>30</v>
      </c>
    </row>
    <row r="33" spans="2:10" ht="47.25" x14ac:dyDescent="0.25">
      <c r="B33" s="11"/>
      <c r="C33" s="28"/>
      <c r="D33" s="40"/>
      <c r="E33" s="30">
        <v>14</v>
      </c>
      <c r="F33" s="39" t="s">
        <v>81</v>
      </c>
      <c r="G33" s="37" t="s">
        <v>36</v>
      </c>
      <c r="H33" s="38" t="s">
        <v>64</v>
      </c>
      <c r="I33" s="124" t="s">
        <v>165</v>
      </c>
      <c r="J33">
        <v>31</v>
      </c>
    </row>
    <row r="34" spans="2:10" ht="31.5" x14ac:dyDescent="0.25">
      <c r="B34" s="11"/>
      <c r="C34" s="28"/>
      <c r="D34" s="29" t="s">
        <v>2</v>
      </c>
      <c r="E34" s="30">
        <v>1</v>
      </c>
      <c r="F34" s="31" t="s">
        <v>82</v>
      </c>
      <c r="G34" s="32" t="s">
        <v>36</v>
      </c>
      <c r="H34" s="33" t="s">
        <v>62</v>
      </c>
      <c r="I34" s="124" t="s">
        <v>66</v>
      </c>
      <c r="J34">
        <v>32</v>
      </c>
    </row>
    <row r="35" spans="2:10" ht="31.5" x14ac:dyDescent="0.25">
      <c r="B35" s="11"/>
      <c r="C35" s="28"/>
      <c r="D35" s="34"/>
      <c r="E35" s="30">
        <v>2</v>
      </c>
      <c r="F35" s="31" t="s">
        <v>83</v>
      </c>
      <c r="G35" s="32" t="s">
        <v>36</v>
      </c>
      <c r="H35" s="33" t="s">
        <v>62</v>
      </c>
      <c r="I35" s="124" t="s">
        <v>66</v>
      </c>
      <c r="J35">
        <v>33</v>
      </c>
    </row>
    <row r="36" spans="2:10" ht="31.5" x14ac:dyDescent="0.25">
      <c r="B36" s="11"/>
      <c r="C36" s="28"/>
      <c r="D36" s="34"/>
      <c r="E36" s="30">
        <v>3</v>
      </c>
      <c r="F36" s="31" t="s">
        <v>84</v>
      </c>
      <c r="G36" s="32" t="s">
        <v>36</v>
      </c>
      <c r="H36" s="33" t="s">
        <v>62</v>
      </c>
      <c r="I36" s="124" t="s">
        <v>66</v>
      </c>
      <c r="J36">
        <v>34</v>
      </c>
    </row>
    <row r="37" spans="2:10" ht="31.5" x14ac:dyDescent="0.25">
      <c r="B37" s="11"/>
      <c r="C37" s="28"/>
      <c r="D37" s="34"/>
      <c r="E37" s="30">
        <v>4</v>
      </c>
      <c r="F37" s="31" t="s">
        <v>85</v>
      </c>
      <c r="G37" s="32" t="s">
        <v>36</v>
      </c>
      <c r="H37" s="33" t="s">
        <v>62</v>
      </c>
      <c r="I37" s="124" t="s">
        <v>66</v>
      </c>
      <c r="J37">
        <v>35</v>
      </c>
    </row>
    <row r="38" spans="2:10" ht="63" x14ac:dyDescent="0.25">
      <c r="B38" s="11"/>
      <c r="C38" s="28"/>
      <c r="D38" s="34"/>
      <c r="E38" s="30">
        <v>5</v>
      </c>
      <c r="F38" s="41" t="s">
        <v>86</v>
      </c>
      <c r="G38" s="35" t="s">
        <v>36</v>
      </c>
      <c r="H38" s="36" t="s">
        <v>64</v>
      </c>
      <c r="I38" s="124" t="s">
        <v>71</v>
      </c>
      <c r="J38">
        <v>36</v>
      </c>
    </row>
    <row r="39" spans="2:10" ht="47.25" x14ac:dyDescent="0.25">
      <c r="B39" s="11"/>
      <c r="C39" s="28"/>
      <c r="D39" s="34"/>
      <c r="E39" s="30"/>
      <c r="F39" s="42" t="s">
        <v>87</v>
      </c>
      <c r="G39" s="35" t="s">
        <v>36</v>
      </c>
      <c r="H39" s="36" t="s">
        <v>62</v>
      </c>
      <c r="I39" s="124" t="s">
        <v>88</v>
      </c>
      <c r="J39">
        <v>37</v>
      </c>
    </row>
    <row r="40" spans="2:10" ht="31.5" x14ac:dyDescent="0.25">
      <c r="B40" s="11"/>
      <c r="C40" s="43"/>
      <c r="D40" s="40"/>
      <c r="E40" s="30">
        <v>6</v>
      </c>
      <c r="F40" s="41" t="s">
        <v>89</v>
      </c>
      <c r="G40" s="35" t="s">
        <v>36</v>
      </c>
      <c r="H40" s="36" t="s">
        <v>90</v>
      </c>
      <c r="I40" s="124" t="s">
        <v>71</v>
      </c>
      <c r="J40">
        <v>38</v>
      </c>
    </row>
    <row r="41" spans="2:10" ht="31.5" x14ac:dyDescent="0.25">
      <c r="B41" s="44">
        <v>3</v>
      </c>
      <c r="C41" s="45" t="s">
        <v>10</v>
      </c>
      <c r="D41" s="46" t="s">
        <v>35</v>
      </c>
      <c r="E41" s="47">
        <v>1</v>
      </c>
      <c r="F41" s="48" t="s">
        <v>91</v>
      </c>
      <c r="G41" s="49" t="s">
        <v>36</v>
      </c>
      <c r="H41" s="50" t="s">
        <v>92</v>
      </c>
      <c r="I41" s="125" t="s">
        <v>166</v>
      </c>
      <c r="J41">
        <v>39</v>
      </c>
    </row>
    <row r="42" spans="2:10" ht="47.25" x14ac:dyDescent="0.25">
      <c r="B42" s="45"/>
      <c r="C42" s="45"/>
      <c r="D42" s="51"/>
      <c r="E42" s="47">
        <v>2</v>
      </c>
      <c r="F42" s="49" t="s">
        <v>93</v>
      </c>
      <c r="G42" s="49" t="s">
        <v>68</v>
      </c>
      <c r="H42" s="50" t="s">
        <v>94</v>
      </c>
      <c r="I42" s="125" t="s">
        <v>167</v>
      </c>
      <c r="J42">
        <v>40</v>
      </c>
    </row>
    <row r="43" spans="2:10" ht="31.5" x14ac:dyDescent="0.25">
      <c r="B43" s="45"/>
      <c r="C43" s="45"/>
      <c r="D43" s="51"/>
      <c r="E43" s="47">
        <v>3</v>
      </c>
      <c r="F43" s="49" t="s">
        <v>95</v>
      </c>
      <c r="G43" s="49" t="s">
        <v>68</v>
      </c>
      <c r="H43" s="50" t="s">
        <v>53</v>
      </c>
      <c r="I43" s="125" t="s">
        <v>168</v>
      </c>
      <c r="J43">
        <v>41</v>
      </c>
    </row>
    <row r="44" spans="2:10" ht="47.25" x14ac:dyDescent="0.25">
      <c r="B44" s="45"/>
      <c r="C44" s="45"/>
      <c r="D44" s="51"/>
      <c r="E44" s="47">
        <v>4</v>
      </c>
      <c r="F44" s="52" t="s">
        <v>96</v>
      </c>
      <c r="G44" s="53" t="s">
        <v>36</v>
      </c>
      <c r="H44" s="54" t="s">
        <v>53</v>
      </c>
      <c r="I44" s="124" t="s">
        <v>97</v>
      </c>
      <c r="J44">
        <v>42</v>
      </c>
    </row>
    <row r="45" spans="2:10" ht="47.25" x14ac:dyDescent="0.25">
      <c r="B45" s="45"/>
      <c r="C45" s="45"/>
      <c r="D45" s="51"/>
      <c r="E45" s="47">
        <v>5</v>
      </c>
      <c r="F45" s="55" t="s">
        <v>98</v>
      </c>
      <c r="G45" s="33" t="s">
        <v>68</v>
      </c>
      <c r="H45" s="56" t="s">
        <v>53</v>
      </c>
      <c r="I45" s="124" t="s">
        <v>164</v>
      </c>
      <c r="J45">
        <v>43</v>
      </c>
    </row>
    <row r="46" spans="2:10" ht="31.5" x14ac:dyDescent="0.25">
      <c r="B46" s="45"/>
      <c r="C46" s="45"/>
      <c r="D46" s="51"/>
      <c r="E46" s="47">
        <v>6</v>
      </c>
      <c r="F46" s="31" t="s">
        <v>99</v>
      </c>
      <c r="G46" s="33" t="s">
        <v>68</v>
      </c>
      <c r="H46" s="56" t="s">
        <v>94</v>
      </c>
      <c r="I46" s="124" t="s">
        <v>97</v>
      </c>
      <c r="J46">
        <v>44</v>
      </c>
    </row>
    <row r="47" spans="2:10" ht="63" x14ac:dyDescent="0.25">
      <c r="B47" s="45"/>
      <c r="C47" s="45"/>
      <c r="D47" s="51"/>
      <c r="E47" s="47">
        <v>7</v>
      </c>
      <c r="F47" s="57" t="s">
        <v>100</v>
      </c>
      <c r="G47" s="33" t="s">
        <v>68</v>
      </c>
      <c r="H47" s="56" t="s">
        <v>101</v>
      </c>
      <c r="I47" s="124" t="s">
        <v>164</v>
      </c>
      <c r="J47">
        <v>45</v>
      </c>
    </row>
    <row r="48" spans="2:10" ht="31.5" x14ac:dyDescent="0.25">
      <c r="B48" s="45"/>
      <c r="C48" s="45"/>
      <c r="D48" s="58"/>
      <c r="E48" s="47">
        <v>8</v>
      </c>
      <c r="F48" s="49" t="s">
        <v>102</v>
      </c>
      <c r="G48" s="33" t="s">
        <v>68</v>
      </c>
      <c r="H48" s="36" t="s">
        <v>101</v>
      </c>
      <c r="I48" s="126" t="s">
        <v>164</v>
      </c>
      <c r="J48">
        <v>46</v>
      </c>
    </row>
    <row r="49" spans="2:10" ht="47.25" x14ac:dyDescent="0.25">
      <c r="B49" s="45"/>
      <c r="C49" s="45"/>
      <c r="D49" s="29" t="s">
        <v>2</v>
      </c>
      <c r="E49" s="59">
        <v>1</v>
      </c>
      <c r="F49" s="60" t="s">
        <v>103</v>
      </c>
      <c r="G49" s="33" t="s">
        <v>68</v>
      </c>
      <c r="H49" s="36" t="s">
        <v>94</v>
      </c>
      <c r="I49" s="127" t="s">
        <v>71</v>
      </c>
      <c r="J49">
        <v>47</v>
      </c>
    </row>
    <row r="50" spans="2:10" ht="47.25" x14ac:dyDescent="0.25">
      <c r="B50" s="45"/>
      <c r="C50" s="45"/>
      <c r="D50" s="34"/>
      <c r="E50" s="59">
        <v>2</v>
      </c>
      <c r="F50" s="31" t="s">
        <v>104</v>
      </c>
      <c r="G50" s="33" t="s">
        <v>68</v>
      </c>
      <c r="H50" s="33" t="s">
        <v>94</v>
      </c>
      <c r="I50" s="127" t="s">
        <v>71</v>
      </c>
      <c r="J50">
        <v>48</v>
      </c>
    </row>
    <row r="51" spans="2:10" ht="31.5" x14ac:dyDescent="0.25">
      <c r="B51" s="45"/>
      <c r="C51" s="45"/>
      <c r="D51" s="34"/>
      <c r="E51" s="59">
        <v>3</v>
      </c>
      <c r="F51" s="61" t="s">
        <v>105</v>
      </c>
      <c r="G51" s="36" t="s">
        <v>36</v>
      </c>
      <c r="H51" s="36" t="s">
        <v>53</v>
      </c>
      <c r="I51" s="127" t="s">
        <v>71</v>
      </c>
      <c r="J51">
        <v>49</v>
      </c>
    </row>
    <row r="52" spans="2:10" ht="31.5" x14ac:dyDescent="0.25">
      <c r="B52" s="45"/>
      <c r="C52" s="45"/>
      <c r="D52" s="34"/>
      <c r="E52" s="59">
        <v>4</v>
      </c>
      <c r="F52" s="61" t="s">
        <v>106</v>
      </c>
      <c r="G52" s="36" t="s">
        <v>36</v>
      </c>
      <c r="H52" s="36" t="s">
        <v>53</v>
      </c>
      <c r="I52" s="127" t="s">
        <v>71</v>
      </c>
      <c r="J52">
        <v>50</v>
      </c>
    </row>
    <row r="53" spans="2:10" ht="31.5" x14ac:dyDescent="0.25">
      <c r="B53" s="45"/>
      <c r="C53" s="45"/>
      <c r="D53" s="34"/>
      <c r="E53" s="59">
        <v>5</v>
      </c>
      <c r="F53" s="55" t="s">
        <v>107</v>
      </c>
      <c r="G53" s="36" t="s">
        <v>36</v>
      </c>
      <c r="H53" s="36" t="s">
        <v>94</v>
      </c>
      <c r="I53" s="127" t="s">
        <v>71</v>
      </c>
      <c r="J53">
        <v>51</v>
      </c>
    </row>
    <row r="54" spans="2:10" ht="47.25" x14ac:dyDescent="0.25">
      <c r="B54" s="45"/>
      <c r="C54" s="45"/>
      <c r="D54" s="34"/>
      <c r="E54" s="59">
        <v>6</v>
      </c>
      <c r="F54" s="31" t="s">
        <v>108</v>
      </c>
      <c r="G54" s="33" t="s">
        <v>68</v>
      </c>
      <c r="H54" s="36" t="s">
        <v>53</v>
      </c>
      <c r="I54" s="127" t="s">
        <v>109</v>
      </c>
      <c r="J54">
        <v>52</v>
      </c>
    </row>
    <row r="55" spans="2:10" ht="31.5" x14ac:dyDescent="0.25">
      <c r="B55" s="45"/>
      <c r="C55" s="45"/>
      <c r="D55" s="34"/>
      <c r="E55" s="59">
        <v>7</v>
      </c>
      <c r="F55" s="31" t="s">
        <v>110</v>
      </c>
      <c r="G55" s="33" t="s">
        <v>68</v>
      </c>
      <c r="H55" s="36" t="s">
        <v>94</v>
      </c>
      <c r="I55" s="127" t="s">
        <v>97</v>
      </c>
      <c r="J55">
        <v>53</v>
      </c>
    </row>
    <row r="56" spans="2:10" ht="31.5" x14ac:dyDescent="0.25">
      <c r="B56" s="45"/>
      <c r="C56" s="45"/>
      <c r="D56" s="34"/>
      <c r="E56" s="59">
        <v>8</v>
      </c>
      <c r="F56" s="62" t="s">
        <v>111</v>
      </c>
      <c r="G56" s="62" t="s">
        <v>68</v>
      </c>
      <c r="H56" s="53" t="s">
        <v>94</v>
      </c>
      <c r="I56" s="127" t="s">
        <v>112</v>
      </c>
      <c r="J56">
        <v>54</v>
      </c>
    </row>
    <row r="57" spans="2:10" ht="31.5" x14ac:dyDescent="0.25">
      <c r="B57" s="45"/>
      <c r="C57" s="45"/>
      <c r="D57" s="34"/>
      <c r="E57" s="59">
        <v>9</v>
      </c>
      <c r="F57" s="49" t="s">
        <v>113</v>
      </c>
      <c r="G57" s="49" t="s">
        <v>68</v>
      </c>
      <c r="H57" s="36" t="s">
        <v>101</v>
      </c>
      <c r="I57" s="127" t="s">
        <v>71</v>
      </c>
      <c r="J57">
        <v>55</v>
      </c>
    </row>
    <row r="58" spans="2:10" ht="31.5" x14ac:dyDescent="0.25">
      <c r="B58" s="63"/>
      <c r="C58" s="63"/>
      <c r="D58" s="40"/>
      <c r="E58" s="59">
        <v>10</v>
      </c>
      <c r="F58" s="49" t="s">
        <v>114</v>
      </c>
      <c r="G58" s="49" t="s">
        <v>68</v>
      </c>
      <c r="H58" s="36" t="s">
        <v>115</v>
      </c>
      <c r="I58" s="127" t="s">
        <v>71</v>
      </c>
      <c r="J58">
        <v>56</v>
      </c>
    </row>
    <row r="59" spans="2:10" ht="15.75" x14ac:dyDescent="0.25">
      <c r="B59" s="64" t="s">
        <v>7</v>
      </c>
      <c r="C59" s="64"/>
      <c r="D59" s="64"/>
      <c r="E59" s="64"/>
      <c r="F59" s="64"/>
      <c r="G59" s="64"/>
      <c r="H59" s="64"/>
      <c r="I59" s="64"/>
      <c r="J59">
        <v>57</v>
      </c>
    </row>
    <row r="60" spans="2:10" ht="47.25" x14ac:dyDescent="0.25">
      <c r="B60" s="65">
        <v>1</v>
      </c>
      <c r="C60" s="66" t="s">
        <v>11</v>
      </c>
      <c r="D60" s="13" t="s">
        <v>35</v>
      </c>
      <c r="E60" s="67">
        <v>1</v>
      </c>
      <c r="F60" s="68" t="s">
        <v>116</v>
      </c>
      <c r="G60" s="35" t="s">
        <v>117</v>
      </c>
      <c r="H60" s="36" t="s">
        <v>118</v>
      </c>
      <c r="I60" s="127">
        <v>46127</v>
      </c>
      <c r="J60">
        <v>58</v>
      </c>
    </row>
    <row r="61" spans="2:10" ht="31.5" x14ac:dyDescent="0.25">
      <c r="B61" s="69"/>
      <c r="C61" s="28"/>
      <c r="D61" s="13"/>
      <c r="E61" s="70">
        <v>2</v>
      </c>
      <c r="F61" s="68" t="s">
        <v>119</v>
      </c>
      <c r="G61" s="35" t="s">
        <v>117</v>
      </c>
      <c r="H61" s="36" t="s">
        <v>118</v>
      </c>
      <c r="I61" s="127">
        <v>46122</v>
      </c>
      <c r="J61">
        <v>59</v>
      </c>
    </row>
    <row r="62" spans="2:10" ht="31.5" x14ac:dyDescent="0.25">
      <c r="B62" s="69"/>
      <c r="C62" s="28"/>
      <c r="D62" s="13"/>
      <c r="E62" s="67">
        <v>3</v>
      </c>
      <c r="F62" s="68" t="s">
        <v>120</v>
      </c>
      <c r="G62" s="35" t="s">
        <v>68</v>
      </c>
      <c r="H62" s="36" t="s">
        <v>121</v>
      </c>
      <c r="I62" s="127">
        <v>46118</v>
      </c>
      <c r="J62">
        <v>60</v>
      </c>
    </row>
    <row r="63" spans="2:10" ht="31.5" x14ac:dyDescent="0.25">
      <c r="B63" s="69"/>
      <c r="C63" s="28"/>
      <c r="D63" s="13"/>
      <c r="E63" s="67">
        <v>4</v>
      </c>
      <c r="F63" s="68" t="s">
        <v>122</v>
      </c>
      <c r="G63" s="35" t="s">
        <v>117</v>
      </c>
      <c r="H63" s="36" t="s">
        <v>121</v>
      </c>
      <c r="I63" s="127">
        <v>46140</v>
      </c>
      <c r="J63">
        <v>61</v>
      </c>
    </row>
    <row r="64" spans="2:10" ht="31.5" x14ac:dyDescent="0.25">
      <c r="B64" s="69"/>
      <c r="C64" s="28"/>
      <c r="D64" s="13"/>
      <c r="E64" s="67">
        <v>5</v>
      </c>
      <c r="F64" s="71" t="s">
        <v>123</v>
      </c>
      <c r="G64" s="35" t="s">
        <v>117</v>
      </c>
      <c r="H64" s="36" t="s">
        <v>121</v>
      </c>
      <c r="I64" s="127">
        <v>46141</v>
      </c>
      <c r="J64">
        <v>62</v>
      </c>
    </row>
    <row r="65" spans="2:10" ht="31.5" x14ac:dyDescent="0.25">
      <c r="B65" s="69"/>
      <c r="C65" s="28"/>
      <c r="D65" s="13"/>
      <c r="E65" s="70">
        <v>6</v>
      </c>
      <c r="F65" s="71" t="s">
        <v>124</v>
      </c>
      <c r="G65" s="35" t="s">
        <v>117</v>
      </c>
      <c r="H65" s="36" t="s">
        <v>118</v>
      </c>
      <c r="I65" s="127">
        <v>46141</v>
      </c>
      <c r="J65">
        <v>63</v>
      </c>
    </row>
    <row r="66" spans="2:10" ht="78.75" x14ac:dyDescent="0.25">
      <c r="B66" s="69"/>
      <c r="C66" s="28"/>
      <c r="D66" s="13"/>
      <c r="E66" s="67">
        <v>7</v>
      </c>
      <c r="F66" s="68" t="s">
        <v>125</v>
      </c>
      <c r="G66" s="35" t="s">
        <v>117</v>
      </c>
      <c r="H66" s="36" t="s">
        <v>121</v>
      </c>
      <c r="I66" s="127">
        <v>46140</v>
      </c>
      <c r="J66">
        <v>64</v>
      </c>
    </row>
    <row r="67" spans="2:10" ht="47.25" x14ac:dyDescent="0.25">
      <c r="B67" s="69"/>
      <c r="C67" s="28"/>
      <c r="D67" s="13"/>
      <c r="E67" s="67">
        <v>8</v>
      </c>
      <c r="F67" s="72" t="s">
        <v>126</v>
      </c>
      <c r="G67" s="36" t="s">
        <v>117</v>
      </c>
      <c r="H67" s="36" t="s">
        <v>118</v>
      </c>
      <c r="I67" s="127">
        <v>46127</v>
      </c>
      <c r="J67">
        <v>65</v>
      </c>
    </row>
    <row r="68" spans="2:10" ht="31.5" x14ac:dyDescent="0.25">
      <c r="B68" s="69"/>
      <c r="C68" s="28"/>
      <c r="D68" s="13"/>
      <c r="E68" s="67">
        <v>9</v>
      </c>
      <c r="F68" s="68" t="s">
        <v>127</v>
      </c>
      <c r="G68" s="35" t="s">
        <v>117</v>
      </c>
      <c r="H68" s="36" t="s">
        <v>118</v>
      </c>
      <c r="I68" s="127">
        <v>46136</v>
      </c>
      <c r="J68">
        <v>66</v>
      </c>
    </row>
    <row r="69" spans="2:10" ht="47.25" x14ac:dyDescent="0.25">
      <c r="B69" s="69"/>
      <c r="C69" s="28"/>
      <c r="D69" s="13"/>
      <c r="E69" s="70">
        <v>10</v>
      </c>
      <c r="F69" s="68" t="s">
        <v>128</v>
      </c>
      <c r="G69" s="35" t="s">
        <v>68</v>
      </c>
      <c r="H69" s="36" t="s">
        <v>121</v>
      </c>
      <c r="I69" s="127">
        <v>46115</v>
      </c>
      <c r="J69">
        <v>67</v>
      </c>
    </row>
    <row r="70" spans="2:10" ht="31.5" x14ac:dyDescent="0.25">
      <c r="B70" s="69"/>
      <c r="C70" s="28"/>
      <c r="D70" s="13"/>
      <c r="E70" s="67">
        <v>11</v>
      </c>
      <c r="F70" s="68" t="s">
        <v>129</v>
      </c>
      <c r="G70" s="35" t="s">
        <v>117</v>
      </c>
      <c r="H70" s="36" t="s">
        <v>121</v>
      </c>
      <c r="I70" s="127">
        <v>46119</v>
      </c>
      <c r="J70">
        <v>68</v>
      </c>
    </row>
    <row r="71" spans="2:10" ht="31.5" x14ac:dyDescent="0.25">
      <c r="B71" s="69"/>
      <c r="C71" s="28"/>
      <c r="D71" s="13"/>
      <c r="E71" s="67">
        <v>12</v>
      </c>
      <c r="F71" s="68" t="s">
        <v>130</v>
      </c>
      <c r="G71" s="35" t="s">
        <v>117</v>
      </c>
      <c r="H71" s="36" t="s">
        <v>121</v>
      </c>
      <c r="I71" s="127">
        <v>46136</v>
      </c>
      <c r="J71">
        <v>69</v>
      </c>
    </row>
    <row r="72" spans="2:10" ht="31.5" x14ac:dyDescent="0.25">
      <c r="B72" s="69"/>
      <c r="C72" s="28"/>
      <c r="D72" s="29" t="s">
        <v>2</v>
      </c>
      <c r="E72" s="67">
        <v>1</v>
      </c>
      <c r="F72" s="68" t="s">
        <v>131</v>
      </c>
      <c r="G72" s="73" t="s">
        <v>117</v>
      </c>
      <c r="H72" s="74" t="s">
        <v>115</v>
      </c>
      <c r="I72" s="127" t="s">
        <v>71</v>
      </c>
      <c r="J72">
        <v>70</v>
      </c>
    </row>
    <row r="73" spans="2:10" ht="31.5" x14ac:dyDescent="0.25">
      <c r="B73" s="69"/>
      <c r="C73" s="28"/>
      <c r="D73" s="34"/>
      <c r="E73" s="67">
        <v>2</v>
      </c>
      <c r="F73" s="68" t="s">
        <v>132</v>
      </c>
      <c r="G73" s="35" t="s">
        <v>68</v>
      </c>
      <c r="H73" s="36" t="s">
        <v>118</v>
      </c>
      <c r="I73" s="127" t="s">
        <v>71</v>
      </c>
      <c r="J73">
        <v>71</v>
      </c>
    </row>
    <row r="74" spans="2:10" ht="31.5" x14ac:dyDescent="0.25">
      <c r="B74" s="69"/>
      <c r="C74" s="28"/>
      <c r="D74" s="34"/>
      <c r="E74" s="67">
        <v>3</v>
      </c>
      <c r="F74" s="68" t="s">
        <v>133</v>
      </c>
      <c r="G74" s="35" t="s">
        <v>68</v>
      </c>
      <c r="H74" s="36" t="s">
        <v>121</v>
      </c>
      <c r="I74" s="127" t="s">
        <v>71</v>
      </c>
      <c r="J74">
        <v>72</v>
      </c>
    </row>
    <row r="75" spans="2:10" ht="47.25" x14ac:dyDescent="0.25">
      <c r="B75" s="69"/>
      <c r="C75" s="28"/>
      <c r="D75" s="34"/>
      <c r="E75" s="67">
        <v>4</v>
      </c>
      <c r="F75" s="75" t="s">
        <v>134</v>
      </c>
      <c r="G75" s="35" t="s">
        <v>68</v>
      </c>
      <c r="H75" s="36" t="s">
        <v>118</v>
      </c>
      <c r="I75" s="127">
        <v>46114</v>
      </c>
      <c r="J75">
        <v>73</v>
      </c>
    </row>
    <row r="76" spans="2:10" ht="31.5" x14ac:dyDescent="0.25">
      <c r="B76" s="76"/>
      <c r="C76" s="28"/>
      <c r="D76" s="34"/>
      <c r="E76" s="67">
        <v>5</v>
      </c>
      <c r="F76" s="68" t="s">
        <v>135</v>
      </c>
      <c r="G76" s="35" t="s">
        <v>68</v>
      </c>
      <c r="H76" s="36" t="s">
        <v>121</v>
      </c>
      <c r="I76" s="127">
        <v>46125</v>
      </c>
      <c r="J76">
        <v>74</v>
      </c>
    </row>
    <row r="77" spans="2:10" ht="78.75" x14ac:dyDescent="0.25">
      <c r="B77" s="77"/>
      <c r="C77" s="43"/>
      <c r="D77" s="40"/>
      <c r="E77" s="67">
        <v>6</v>
      </c>
      <c r="F77" s="72" t="s">
        <v>136</v>
      </c>
      <c r="G77" s="73" t="s">
        <v>117</v>
      </c>
      <c r="H77" s="36" t="s">
        <v>121</v>
      </c>
      <c r="I77" s="127">
        <v>46141</v>
      </c>
      <c r="J77">
        <v>75</v>
      </c>
    </row>
    <row r="78" spans="2:10" ht="63" x14ac:dyDescent="0.25">
      <c r="B78" s="65">
        <v>2</v>
      </c>
      <c r="C78" s="66" t="s">
        <v>137</v>
      </c>
      <c r="D78" s="29" t="s">
        <v>35</v>
      </c>
      <c r="E78" s="67">
        <v>1</v>
      </c>
      <c r="F78" s="78" t="s">
        <v>138</v>
      </c>
      <c r="G78" s="73" t="s">
        <v>117</v>
      </c>
      <c r="H78" s="36" t="s">
        <v>118</v>
      </c>
      <c r="I78" s="127">
        <v>46132</v>
      </c>
      <c r="J78">
        <v>76</v>
      </c>
    </row>
    <row r="79" spans="2:10" ht="94.5" x14ac:dyDescent="0.25">
      <c r="B79" s="69"/>
      <c r="C79" s="28"/>
      <c r="D79" s="34"/>
      <c r="E79" s="67">
        <v>2</v>
      </c>
      <c r="F79" s="79" t="s">
        <v>139</v>
      </c>
      <c r="G79" s="73" t="s">
        <v>117</v>
      </c>
      <c r="H79" s="36" t="s">
        <v>118</v>
      </c>
      <c r="I79" s="127">
        <v>46141</v>
      </c>
      <c r="J79">
        <v>77</v>
      </c>
    </row>
    <row r="80" spans="2:10" ht="47.25" x14ac:dyDescent="0.25">
      <c r="B80" s="69"/>
      <c r="C80" s="28"/>
      <c r="D80" s="29" t="s">
        <v>2</v>
      </c>
      <c r="E80" s="67">
        <v>1</v>
      </c>
      <c r="F80" s="68" t="s">
        <v>140</v>
      </c>
      <c r="G80" s="35" t="s">
        <v>117</v>
      </c>
      <c r="H80" s="36" t="s">
        <v>118</v>
      </c>
      <c r="I80" s="127" t="s">
        <v>97</v>
      </c>
      <c r="J80">
        <v>78</v>
      </c>
    </row>
    <row r="81" spans="2:10" ht="31.5" x14ac:dyDescent="0.25">
      <c r="B81" s="69"/>
      <c r="C81" s="28"/>
      <c r="D81" s="34"/>
      <c r="E81" s="67">
        <v>2</v>
      </c>
      <c r="F81" s="80" t="s">
        <v>141</v>
      </c>
      <c r="G81" s="73" t="s">
        <v>117</v>
      </c>
      <c r="H81" s="74" t="s">
        <v>115</v>
      </c>
      <c r="I81" s="127" t="s">
        <v>97</v>
      </c>
      <c r="J81">
        <v>79</v>
      </c>
    </row>
    <row r="82" spans="2:10" ht="31.5" x14ac:dyDescent="0.25">
      <c r="B82" s="69"/>
      <c r="C82" s="28"/>
      <c r="D82" s="34"/>
      <c r="E82" s="81">
        <v>3</v>
      </c>
      <c r="F82" s="82" t="s">
        <v>142</v>
      </c>
      <c r="G82" s="83" t="s">
        <v>117</v>
      </c>
      <c r="H82" s="84" t="s">
        <v>115</v>
      </c>
      <c r="I82" s="128" t="s">
        <v>71</v>
      </c>
      <c r="J82">
        <v>80</v>
      </c>
    </row>
    <row r="83" spans="2:10" ht="31.5" x14ac:dyDescent="0.25">
      <c r="B83" s="77"/>
      <c r="C83" s="85"/>
      <c r="D83" s="86"/>
      <c r="E83" s="87">
        <v>4</v>
      </c>
      <c r="F83" s="57" t="s">
        <v>143</v>
      </c>
      <c r="G83" s="83" t="s">
        <v>117</v>
      </c>
      <c r="H83" s="36" t="s">
        <v>118</v>
      </c>
      <c r="I83" s="124" t="s">
        <v>144</v>
      </c>
      <c r="J83">
        <v>81</v>
      </c>
    </row>
    <row r="84" spans="2:10" ht="15.75" x14ac:dyDescent="0.25">
      <c r="B84" s="88" t="s">
        <v>9</v>
      </c>
      <c r="C84" s="88"/>
      <c r="D84" s="88"/>
      <c r="E84" s="88"/>
      <c r="F84" s="88"/>
      <c r="G84" s="88"/>
      <c r="H84" s="88"/>
      <c r="I84" s="88"/>
      <c r="J84">
        <v>82</v>
      </c>
    </row>
    <row r="85" spans="2:10" ht="31.5" x14ac:dyDescent="0.25">
      <c r="B85" s="11">
        <v>1</v>
      </c>
      <c r="C85" s="66" t="s">
        <v>13</v>
      </c>
      <c r="D85" s="29" t="s">
        <v>35</v>
      </c>
      <c r="E85" s="70">
        <v>1</v>
      </c>
      <c r="F85" s="61" t="s">
        <v>145</v>
      </c>
      <c r="G85" s="36" t="s">
        <v>146</v>
      </c>
      <c r="H85" s="36" t="s">
        <v>147</v>
      </c>
      <c r="I85" s="127">
        <v>46085</v>
      </c>
      <c r="J85">
        <v>83</v>
      </c>
    </row>
    <row r="86" spans="2:10" ht="31.5" x14ac:dyDescent="0.25">
      <c r="B86" s="11"/>
      <c r="C86" s="28"/>
      <c r="D86" s="34"/>
      <c r="E86" s="70">
        <v>2</v>
      </c>
      <c r="F86" s="61" t="s">
        <v>148</v>
      </c>
      <c r="G86" s="36" t="s">
        <v>146</v>
      </c>
      <c r="H86" s="36" t="s">
        <v>147</v>
      </c>
      <c r="I86" s="127">
        <v>46299</v>
      </c>
      <c r="J86">
        <v>84</v>
      </c>
    </row>
    <row r="87" spans="2:10" ht="78.75" x14ac:dyDescent="0.25">
      <c r="B87" s="11"/>
      <c r="C87" s="28"/>
      <c r="D87" s="34"/>
      <c r="E87" s="70">
        <v>3</v>
      </c>
      <c r="F87" s="61" t="s">
        <v>149</v>
      </c>
      <c r="G87" s="36" t="s">
        <v>146</v>
      </c>
      <c r="H87" s="36" t="s">
        <v>147</v>
      </c>
      <c r="I87" s="127" t="s">
        <v>169</v>
      </c>
      <c r="J87">
        <v>85</v>
      </c>
    </row>
    <row r="88" spans="2:10" ht="47.25" x14ac:dyDescent="0.25">
      <c r="B88" s="11"/>
      <c r="C88" s="28"/>
      <c r="D88" s="34"/>
      <c r="E88" s="70">
        <v>4</v>
      </c>
      <c r="F88" s="78" t="s">
        <v>150</v>
      </c>
      <c r="G88" s="36" t="s">
        <v>146</v>
      </c>
      <c r="H88" s="36" t="s">
        <v>147</v>
      </c>
      <c r="I88" s="127" t="s">
        <v>165</v>
      </c>
      <c r="J88">
        <v>86</v>
      </c>
    </row>
    <row r="89" spans="2:10" ht="31.5" x14ac:dyDescent="0.25">
      <c r="B89" s="11"/>
      <c r="C89" s="28"/>
      <c r="D89" s="34"/>
      <c r="E89" s="70"/>
      <c r="F89" s="78" t="s">
        <v>151</v>
      </c>
      <c r="G89" s="36" t="s">
        <v>146</v>
      </c>
      <c r="H89" s="36" t="s">
        <v>152</v>
      </c>
      <c r="I89" s="127">
        <v>46299</v>
      </c>
      <c r="J89">
        <v>87</v>
      </c>
    </row>
    <row r="90" spans="2:10" ht="47.25" x14ac:dyDescent="0.25">
      <c r="B90" s="11"/>
      <c r="C90" s="28"/>
      <c r="D90" s="40"/>
      <c r="E90" s="70">
        <v>5</v>
      </c>
      <c r="F90" s="78" t="s">
        <v>153</v>
      </c>
      <c r="G90" s="36" t="s">
        <v>146</v>
      </c>
      <c r="H90" s="36" t="s">
        <v>152</v>
      </c>
      <c r="I90" s="127" t="s">
        <v>165</v>
      </c>
      <c r="J90">
        <v>88</v>
      </c>
    </row>
    <row r="91" spans="2:10" ht="31.5" x14ac:dyDescent="0.25">
      <c r="B91" s="11"/>
      <c r="C91" s="28"/>
      <c r="D91" s="29" t="s">
        <v>2</v>
      </c>
      <c r="E91" s="70">
        <v>6</v>
      </c>
      <c r="F91" s="61" t="s">
        <v>154</v>
      </c>
      <c r="G91" s="36" t="s">
        <v>146</v>
      </c>
      <c r="H91" s="36" t="s">
        <v>155</v>
      </c>
      <c r="I91" s="127" t="s">
        <v>164</v>
      </c>
      <c r="J91">
        <v>89</v>
      </c>
    </row>
    <row r="92" spans="2:10" ht="31.5" x14ac:dyDescent="0.25">
      <c r="B92" s="11"/>
      <c r="C92" s="28"/>
      <c r="D92" s="34"/>
      <c r="E92" s="70">
        <v>7</v>
      </c>
      <c r="F92" s="61" t="s">
        <v>156</v>
      </c>
      <c r="G92" s="36" t="s">
        <v>146</v>
      </c>
      <c r="H92" s="36" t="s">
        <v>155</v>
      </c>
      <c r="I92" s="127">
        <v>46146</v>
      </c>
      <c r="J92">
        <v>90</v>
      </c>
    </row>
    <row r="93" spans="2:10" ht="31.5" x14ac:dyDescent="0.25">
      <c r="B93" s="11"/>
      <c r="C93" s="28"/>
      <c r="D93" s="34"/>
      <c r="E93" s="70">
        <v>8</v>
      </c>
      <c r="F93" s="78" t="s">
        <v>157</v>
      </c>
      <c r="G93" s="36" t="s">
        <v>146</v>
      </c>
      <c r="H93" s="36" t="s">
        <v>155</v>
      </c>
      <c r="I93" s="127">
        <v>46146</v>
      </c>
      <c r="J93">
        <v>91</v>
      </c>
    </row>
    <row r="94" spans="2:10" ht="47.25" x14ac:dyDescent="0.25">
      <c r="B94" s="11"/>
      <c r="C94" s="28"/>
      <c r="D94" s="34"/>
      <c r="E94" s="70">
        <v>9</v>
      </c>
      <c r="F94" s="61" t="s">
        <v>158</v>
      </c>
      <c r="G94" s="36" t="s">
        <v>146</v>
      </c>
      <c r="H94" s="36" t="s">
        <v>155</v>
      </c>
      <c r="I94" s="127">
        <v>46299</v>
      </c>
      <c r="J94">
        <v>92</v>
      </c>
    </row>
    <row r="95" spans="2:10" ht="47.25" x14ac:dyDescent="0.25">
      <c r="B95" s="11"/>
      <c r="C95" s="28"/>
      <c r="D95" s="34"/>
      <c r="E95" s="70">
        <v>10</v>
      </c>
      <c r="F95" s="89" t="s">
        <v>159</v>
      </c>
      <c r="G95" s="36" t="s">
        <v>146</v>
      </c>
      <c r="H95" s="36" t="s">
        <v>152</v>
      </c>
      <c r="I95" s="127">
        <v>46142</v>
      </c>
      <c r="J95">
        <v>93</v>
      </c>
    </row>
    <row r="96" spans="2:10" ht="15.75" x14ac:dyDescent="0.25">
      <c r="B96" s="11"/>
      <c r="C96" s="43"/>
      <c r="D96" s="40"/>
      <c r="E96" s="90">
        <v>11</v>
      </c>
      <c r="F96" s="55" t="s">
        <v>160</v>
      </c>
      <c r="G96" s="81" t="s">
        <v>146</v>
      </c>
      <c r="H96" s="38" t="s">
        <v>152</v>
      </c>
      <c r="I96" s="128">
        <v>46142</v>
      </c>
      <c r="J96">
        <v>94</v>
      </c>
    </row>
    <row r="97" spans="2:10" ht="31.5" x14ac:dyDescent="0.25">
      <c r="B97" s="11">
        <v>2</v>
      </c>
      <c r="C97" s="28" t="s">
        <v>161</v>
      </c>
      <c r="D97" s="29" t="s">
        <v>35</v>
      </c>
      <c r="E97" s="32">
        <v>1</v>
      </c>
      <c r="F97" s="91" t="s">
        <v>162</v>
      </c>
      <c r="G97" s="92" t="s">
        <v>36</v>
      </c>
      <c r="H97" s="53" t="s">
        <v>152</v>
      </c>
      <c r="I97" s="129" t="s">
        <v>97</v>
      </c>
      <c r="J97">
        <v>95</v>
      </c>
    </row>
    <row r="98" spans="2:10" ht="31.5" x14ac:dyDescent="0.25">
      <c r="B98" s="11"/>
      <c r="C98" s="43"/>
      <c r="D98" s="40"/>
      <c r="E98" s="93">
        <v>2</v>
      </c>
      <c r="F98" s="61" t="s">
        <v>163</v>
      </c>
      <c r="G98" s="36" t="s">
        <v>36</v>
      </c>
      <c r="H98" s="36" t="s">
        <v>152</v>
      </c>
      <c r="I98" s="127">
        <v>46086</v>
      </c>
      <c r="J98">
        <v>96</v>
      </c>
    </row>
  </sheetData>
  <mergeCells count="34">
    <mergeCell ref="B84:I84"/>
    <mergeCell ref="B85:B96"/>
    <mergeCell ref="C85:C96"/>
    <mergeCell ref="D85:D90"/>
    <mergeCell ref="D91:D96"/>
    <mergeCell ref="B97:B98"/>
    <mergeCell ref="C97:C98"/>
    <mergeCell ref="D97:D98"/>
    <mergeCell ref="B59:I59"/>
    <mergeCell ref="B60:B76"/>
    <mergeCell ref="C60:C77"/>
    <mergeCell ref="D60:D71"/>
    <mergeCell ref="D72:D77"/>
    <mergeCell ref="B78:B82"/>
    <mergeCell ref="C78:C82"/>
    <mergeCell ref="D78:D79"/>
    <mergeCell ref="D80:D82"/>
    <mergeCell ref="B21:B40"/>
    <mergeCell ref="C21:C40"/>
    <mergeCell ref="D21:D33"/>
    <mergeCell ref="D34:D40"/>
    <mergeCell ref="B41:B58"/>
    <mergeCell ref="C41:C58"/>
    <mergeCell ref="D41:D48"/>
    <mergeCell ref="D49:D58"/>
    <mergeCell ref="B3:C3"/>
    <mergeCell ref="D3:E3"/>
    <mergeCell ref="B4:I4"/>
    <mergeCell ref="B5:B20"/>
    <mergeCell ref="C5:C20"/>
    <mergeCell ref="D5:D12"/>
    <mergeCell ref="G5:G12"/>
    <mergeCell ref="D14:D20"/>
    <mergeCell ref="G14:G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opLeftCell="A4" workbookViewId="0">
      <selection activeCell="G14" sqref="G14"/>
    </sheetView>
  </sheetViews>
  <sheetFormatPr defaultColWidth="8.85546875" defaultRowHeight="18.75" x14ac:dyDescent="0.3"/>
  <cols>
    <col min="1" max="1" width="47.85546875" style="1" customWidth="1"/>
    <col min="2" max="2" width="25" style="1" customWidth="1"/>
    <col min="3" max="3" width="30.7109375" style="1" customWidth="1"/>
    <col min="4" max="16384" width="8.85546875" style="1"/>
  </cols>
  <sheetData>
    <row r="1" spans="1:4" x14ac:dyDescent="0.3">
      <c r="A1" s="1" t="s">
        <v>5</v>
      </c>
      <c r="B1" s="1" t="s">
        <v>6</v>
      </c>
      <c r="C1" s="1" t="s">
        <v>15</v>
      </c>
      <c r="D1" s="1">
        <v>1</v>
      </c>
    </row>
    <row r="2" spans="1:4" x14ac:dyDescent="0.3">
      <c r="A2" s="1" t="s">
        <v>7</v>
      </c>
      <c r="B2" s="1" t="s">
        <v>8</v>
      </c>
      <c r="C2" s="1" t="s">
        <v>16</v>
      </c>
      <c r="D2" s="1">
        <v>2</v>
      </c>
    </row>
    <row r="3" spans="1:4" x14ac:dyDescent="0.3">
      <c r="A3" s="1" t="s">
        <v>9</v>
      </c>
      <c r="B3" s="1" t="s">
        <v>10</v>
      </c>
      <c r="C3" s="1" t="s">
        <v>27</v>
      </c>
      <c r="D3" s="1">
        <v>3</v>
      </c>
    </row>
    <row r="4" spans="1:4" x14ac:dyDescent="0.3">
      <c r="B4" s="1" t="s">
        <v>11</v>
      </c>
      <c r="C4" s="1" t="s">
        <v>17</v>
      </c>
      <c r="D4" s="1">
        <v>4</v>
      </c>
    </row>
    <row r="5" spans="1:4" x14ac:dyDescent="0.3">
      <c r="B5" s="1" t="s">
        <v>12</v>
      </c>
      <c r="C5" s="1" t="s">
        <v>18</v>
      </c>
      <c r="D5" s="1">
        <v>5</v>
      </c>
    </row>
    <row r="6" spans="1:4" x14ac:dyDescent="0.3">
      <c r="B6" s="1" t="s">
        <v>13</v>
      </c>
      <c r="C6" s="1" t="s">
        <v>19</v>
      </c>
      <c r="D6" s="1">
        <v>6</v>
      </c>
    </row>
    <row r="7" spans="1:4" x14ac:dyDescent="0.3">
      <c r="B7" s="1" t="s">
        <v>14</v>
      </c>
      <c r="C7" s="1" t="s">
        <v>20</v>
      </c>
      <c r="D7" s="1">
        <v>7</v>
      </c>
    </row>
    <row r="8" spans="1:4" x14ac:dyDescent="0.3">
      <c r="C8" s="1" t="s">
        <v>21</v>
      </c>
      <c r="D8" s="1">
        <v>8</v>
      </c>
    </row>
    <row r="9" spans="1:4" x14ac:dyDescent="0.3">
      <c r="C9" s="1" t="s">
        <v>22</v>
      </c>
      <c r="D9" s="1">
        <v>9</v>
      </c>
    </row>
    <row r="10" spans="1:4" x14ac:dyDescent="0.3">
      <c r="C10" s="1" t="s">
        <v>170</v>
      </c>
      <c r="D10" s="1">
        <v>10</v>
      </c>
    </row>
    <row r="11" spans="1:4" x14ac:dyDescent="0.3">
      <c r="C11" s="1" t="s">
        <v>171</v>
      </c>
      <c r="D11" s="1">
        <v>11</v>
      </c>
    </row>
    <row r="12" spans="1:4" x14ac:dyDescent="0.3">
      <c r="C12" s="1" t="s">
        <v>172</v>
      </c>
      <c r="D12" s="1">
        <v>12</v>
      </c>
    </row>
    <row r="13" spans="1:4" x14ac:dyDescent="0.3">
      <c r="C13" s="1" t="s">
        <v>173</v>
      </c>
      <c r="D13" s="1">
        <v>13</v>
      </c>
    </row>
    <row r="14" spans="1:4" x14ac:dyDescent="0.3">
      <c r="C14" s="1" t="s">
        <v>174</v>
      </c>
      <c r="D14" s="1">
        <v>14</v>
      </c>
    </row>
    <row r="15" spans="1:4" x14ac:dyDescent="0.3">
      <c r="C15" s="1" t="s">
        <v>175</v>
      </c>
      <c r="D15" s="1">
        <v>15</v>
      </c>
    </row>
    <row r="16" spans="1:4" x14ac:dyDescent="0.3">
      <c r="C16" s="1" t="s">
        <v>176</v>
      </c>
      <c r="D16" s="1">
        <v>16</v>
      </c>
    </row>
    <row r="17" spans="3:4" x14ac:dyDescent="0.3">
      <c r="C17" s="1" t="s">
        <v>28</v>
      </c>
      <c r="D17" s="1">
        <v>17</v>
      </c>
    </row>
    <row r="18" spans="3:4" x14ac:dyDescent="0.3">
      <c r="C18" s="1" t="s">
        <v>177</v>
      </c>
      <c r="D18" s="1">
        <v>18</v>
      </c>
    </row>
    <row r="19" spans="3:4" x14ac:dyDescent="0.3">
      <c r="C19" s="1" t="s">
        <v>178</v>
      </c>
      <c r="D19" s="1">
        <v>19</v>
      </c>
    </row>
    <row r="20" spans="3:4" x14ac:dyDescent="0.3">
      <c r="C20" s="1" t="s">
        <v>179</v>
      </c>
      <c r="D20" s="1">
        <v>20</v>
      </c>
    </row>
    <row r="21" spans="3:4" x14ac:dyDescent="0.3">
      <c r="C21" s="1" t="s">
        <v>180</v>
      </c>
      <c r="D21" s="1">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NhapLieu</vt:lpstr>
      <vt:lpstr>Sheet1</vt:lpstr>
      <vt:lpstr>DanhMuc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2026-04-02T02:35:51Z</dcterms:created>
  <dcterms:modified xsi:type="dcterms:W3CDTF">2026-04-09T09:56:32Z</dcterms:modified>
</cp:coreProperties>
</file>